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vin\AppData\Roaming\MobaXterm\slash\mx86_64b\RemoteFiles\394866_2_3\"/>
    </mc:Choice>
  </mc:AlternateContent>
  <xr:revisionPtr revIDLastSave="0" documentId="13_ncr:1_{D55933B9-0631-4777-AD97-6DCF7755BC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ccomodation" sheetId="1" r:id="rId1"/>
    <sheet name="Transports" sheetId="2" r:id="rId2"/>
    <sheet name="Shopping" sheetId="3" r:id="rId3"/>
    <sheet name="Entertainment" sheetId="4" r:id="rId4"/>
    <sheet name="Health" sheetId="6" r:id="rId5"/>
    <sheet name="Bank" sheetId="7" r:id="rId6"/>
    <sheet name="Savings" sheetId="8" r:id="rId7"/>
    <sheet name="Tax" sheetId="10" r:id="rId8"/>
    <sheet name="Income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8" l="1"/>
  <c r="L13" i="8"/>
  <c r="L25" i="11"/>
  <c r="K25" i="11"/>
  <c r="F25" i="11"/>
  <c r="E25" i="11"/>
  <c r="L13" i="11"/>
  <c r="K13" i="11"/>
  <c r="F13" i="11"/>
  <c r="E13" i="11"/>
  <c r="L13" i="10"/>
  <c r="K13" i="10"/>
  <c r="F13" i="10"/>
  <c r="E13" i="10"/>
  <c r="L25" i="7"/>
  <c r="K25" i="7"/>
  <c r="F25" i="7"/>
  <c r="E25" i="7"/>
  <c r="L13" i="7"/>
  <c r="K13" i="7"/>
  <c r="F13" i="7"/>
  <c r="E13" i="7"/>
  <c r="L37" i="6"/>
  <c r="K37" i="6"/>
  <c r="F37" i="6"/>
  <c r="E37" i="6"/>
  <c r="L25" i="6"/>
  <c r="K25" i="6"/>
  <c r="F25" i="6"/>
  <c r="E25" i="6"/>
  <c r="L13" i="6"/>
  <c r="K13" i="6"/>
  <c r="F13" i="6"/>
  <c r="E13" i="6"/>
  <c r="F61" i="4"/>
  <c r="E61" i="4"/>
  <c r="L49" i="4"/>
  <c r="K49" i="4"/>
  <c r="F49" i="4"/>
  <c r="E49" i="4"/>
  <c r="L37" i="4"/>
  <c r="K37" i="4"/>
  <c r="F37" i="4"/>
  <c r="E37" i="4"/>
  <c r="L25" i="4"/>
  <c r="K25" i="4"/>
  <c r="F25" i="4"/>
  <c r="E25" i="4"/>
  <c r="L13" i="4"/>
  <c r="K13" i="4"/>
  <c r="F13" i="4"/>
  <c r="E13" i="4"/>
  <c r="F27" i="3"/>
  <c r="E27" i="3"/>
  <c r="F15" i="3"/>
  <c r="E15" i="3"/>
  <c r="L13" i="3"/>
  <c r="K13" i="3"/>
  <c r="F61" i="2"/>
  <c r="E61" i="2"/>
  <c r="L49" i="2"/>
  <c r="K49" i="2"/>
  <c r="F49" i="2"/>
  <c r="E49" i="2"/>
  <c r="L37" i="2"/>
  <c r="K37" i="2"/>
  <c r="F37" i="2"/>
  <c r="E37" i="2"/>
  <c r="L25" i="2"/>
  <c r="K25" i="2"/>
  <c r="F25" i="2"/>
  <c r="E25" i="2"/>
  <c r="L13" i="2"/>
  <c r="K13" i="2"/>
  <c r="F13" i="2"/>
  <c r="E13" i="2"/>
  <c r="F61" i="1"/>
  <c r="E61" i="1"/>
  <c r="L49" i="1"/>
  <c r="K49" i="1"/>
  <c r="F49" i="1"/>
  <c r="E49" i="1"/>
  <c r="L37" i="1"/>
  <c r="K37" i="1"/>
  <c r="F37" i="1"/>
  <c r="E37" i="1"/>
  <c r="L25" i="1"/>
  <c r="K25" i="1"/>
  <c r="F25" i="1"/>
  <c r="E25" i="1"/>
  <c r="L13" i="1"/>
  <c r="K13" i="1"/>
  <c r="F13" i="1"/>
  <c r="E13" i="1"/>
  <c r="F13" i="8"/>
  <c r="E13" i="8"/>
</calcChain>
</file>

<file path=xl/sharedStrings.xml><?xml version="1.0" encoding="utf-8"?>
<sst xmlns="http://schemas.openxmlformats.org/spreadsheetml/2006/main" count="307" uniqueCount="55">
  <si>
    <t>TOTAL</t>
  </si>
  <si>
    <t>Date</t>
  </si>
  <si>
    <t>Total</t>
  </si>
  <si>
    <t>INTERNET</t>
  </si>
  <si>
    <t>GAZ</t>
  </si>
  <si>
    <t>BUS</t>
  </si>
  <si>
    <t>TRAIN</t>
  </si>
  <si>
    <t>TAXI</t>
  </si>
  <si>
    <t>HYGIENE</t>
  </si>
  <si>
    <t>CULTURE</t>
  </si>
  <si>
    <t>RESTAURANTS</t>
  </si>
  <si>
    <t>MULTIMEDIA</t>
  </si>
  <si>
    <t>Expenses/Revenues details Accomodation April 2026</t>
  </si>
  <si>
    <t>RENT</t>
  </si>
  <si>
    <t>ELECTRICITY</t>
  </si>
  <si>
    <t>WATER</t>
  </si>
  <si>
    <t>PHONE</t>
  </si>
  <si>
    <t>FURNITURES</t>
  </si>
  <si>
    <t>INSURANCE</t>
  </si>
  <si>
    <t>AUTRE+B64:F73</t>
  </si>
  <si>
    <t>OTHER</t>
  </si>
  <si>
    <t>Details</t>
  </si>
  <si>
    <t>Revenues</t>
  </si>
  <si>
    <t>Expenses</t>
  </si>
  <si>
    <t>Expenses/Revenues details Transports April 2026</t>
  </si>
  <si>
    <t>VEHICULE BUY</t>
  </si>
  <si>
    <t>VEHICULE CARE</t>
  </si>
  <si>
    <t>FUEL</t>
  </si>
  <si>
    <t>FLIGHT</t>
  </si>
  <si>
    <t>Expenses/Revenues details Shopping April 2026</t>
  </si>
  <si>
    <t>FOOD</t>
  </si>
  <si>
    <t>SUBSCRIPTION</t>
  </si>
  <si>
    <t>VIDEO GAMES</t>
  </si>
  <si>
    <t>SPORTS</t>
  </si>
  <si>
    <t>PUB</t>
  </si>
  <si>
    <t>NIGHTS</t>
  </si>
  <si>
    <t>OTHERS</t>
  </si>
  <si>
    <t>HOSPITAL</t>
  </si>
  <si>
    <t>HAIRDRESSER</t>
  </si>
  <si>
    <t>DOCTOR</t>
  </si>
  <si>
    <t>MEDICINE</t>
  </si>
  <si>
    <t>LOANS</t>
  </si>
  <si>
    <t>CREDIT LOAN</t>
  </si>
  <si>
    <t>MANAGEMENT</t>
  </si>
  <si>
    <t>TAX</t>
  </si>
  <si>
    <t>Expenses/Revenues details Entertainment April 2026</t>
  </si>
  <si>
    <t>Expenses/Revenues details Health April 2026</t>
  </si>
  <si>
    <t>Expenses/Revenues details Bank April 2026</t>
  </si>
  <si>
    <t>SAVING ACCOUNT</t>
  </si>
  <si>
    <t>Expenses/Revenues details Savings April 2026</t>
  </si>
  <si>
    <t>PRESENTS</t>
  </si>
  <si>
    <t>STATE</t>
  </si>
  <si>
    <t>INCOME</t>
  </si>
  <si>
    <t>Expenses/Revenues details Income April 2026</t>
  </si>
  <si>
    <t>Expenses/Revenues details Tax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</si>
</sst>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  <numFmt numFmtId="165" formatCode="yyyy\-mm\-dd\ hh:mm:ss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rgb="FF404040"/>
      <name val="Calibri"/>
      <family val="2"/>
    </font>
    <font>
      <b/>
      <sz val="20"/>
      <color rgb="FF000000"/>
      <name val="Calibri"/>
      <family val="2"/>
    </font>
    <font>
      <b/>
      <sz val="24"/>
      <color rgb="FF000000"/>
      <name val="Calibri"/>
      <family val="2"/>
    </font>
    <font>
      <b/>
      <sz val="16"/>
      <color rgb="FFFFFFFF"/>
      <name val="Calibri"/>
      <family val="2"/>
    </font>
    <font>
      <sz val="14"/>
      <color rgb="FF000000"/>
      <name val="Calibri"/>
      <family val="2"/>
    </font>
    <font>
      <b/>
      <sz val="1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/>
  </cellStyleXfs>
  <cellXfs count="35">
    <xf numFmtId="0" fontId="0" fillId="0" borderId="0" xfId="0"/>
    <xf numFmtId="0" fontId="2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4" fontId="2" fillId="3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0" fillId="2" borderId="0" xfId="0" applyFill="1"/>
    <xf numFmtId="165" fontId="0" fillId="2" borderId="0" xfId="0" applyNumberFormat="1" applyFill="1"/>
    <xf numFmtId="44" fontId="8" fillId="6" borderId="2" xfId="0" applyNumberFormat="1" applyFont="1" applyFill="1" applyBorder="1" applyAlignment="1">
      <alignment horizontal="right" vertical="center" wrapText="1"/>
    </xf>
    <xf numFmtId="44" fontId="8" fillId="6" borderId="2" xfId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14" fontId="7" fillId="3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0" fillId="2" borderId="0" xfId="0" applyFill="1"/>
    <xf numFmtId="0" fontId="6" fillId="5" borderId="0" xfId="0" applyFont="1" applyFill="1" applyAlignment="1">
      <alignment horizontal="center" vertical="center" textRotation="90"/>
    </xf>
    <xf numFmtId="0" fontId="6" fillId="7" borderId="0" xfId="0" applyFont="1" applyFill="1" applyAlignment="1">
      <alignment horizontal="center" vertical="center" textRotation="90"/>
    </xf>
    <xf numFmtId="0" fontId="6" fillId="2" borderId="0" xfId="0" applyFont="1" applyFill="1"/>
  </cellXfs>
  <cellStyles count="2">
    <cellStyle name="Monétaire" xfId="1" builtinId="4"/>
    <cellStyle name="Normal" xfId="0" builtinId="0"/>
  </cellStyles>
  <dxfs count="5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.00\ [$€-40C]_-;\-* #,##0.00\ [$€-40C]_-;_-* &quot;-&quot;??\ [$€-40C]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64" formatCode="_-* #,##0.00\ [$€-40C]_-;\-* #,##0.00\ [$€-40C]_-;_-* &quot;-&quot;??\ [$€-40C]_-;_-@_-"/>
      <fill>
        <patternFill>
          <fgColor rgb="FF000000"/>
          <bgColor rgb="FFFFFFFF"/>
        </patternFill>
      </fill>
      <alignment vertical="center"/>
    </dxf>
    <dxf>
      <numFmt numFmtId="19" formatCode="dd/mm/yyyy"/>
      <fill>
        <patternFill>
          <fgColor rgb="FF000000"/>
          <bgColor rgb="FFFFFFFF"/>
        </patternFill>
      </fill>
      <alignment horizontal="center" vertical="center"/>
    </dxf>
    <dxf>
      <fill>
        <patternFill>
          <fgColor rgb="FF000000"/>
          <bgColor rgb="FFFFFFFF"/>
        </patternFill>
      </fill>
      <alignment horizontal="left" vertical="center"/>
    </dxf>
    <dxf>
      <alignment vertical="center"/>
    </dxf>
    <dxf>
      <fill>
        <patternFill>
          <fgColor rgb="FF000000"/>
          <bgColor rgb="FFFFFFFF"/>
        </patternFill>
      </fill>
      <alignment vertical="center"/>
    </dxf>
    <dxf>
      <fill>
        <patternFill>
          <fgColor rgb="FF000000"/>
          <bgColor rgb="FFFFFFFF"/>
        </patternFill>
      </fill>
      <alignment horizontal="center" vertical="center"/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FFFFFF"/>
      </font>
      <fill>
        <patternFill patternType="solid">
          <fgColor rgb="FFED7D31"/>
          <bgColor rgb="FFED7D31"/>
        </patternFill>
      </fill>
    </dxf>
    <dxf>
      <font>
        <color rgb="FF000000"/>
      </font>
      <border>
        <left style="thin">
          <color rgb="FFF4B084"/>
        </left>
        <right style="thin">
          <color rgb="FFF4B084"/>
        </right>
        <top style="thin">
          <color rgb="FFF4B084"/>
        </top>
        <bottom style="thin">
          <color rgb="FFF4B084"/>
        </bottom>
        <horizontal style="thin">
          <color rgb="FFF4B084"/>
        </horizontal>
      </border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FFFFFF"/>
      </font>
      <fill>
        <patternFill patternType="solid">
          <fgColor rgb="FFED7D31"/>
          <bgColor rgb="FFED7D31"/>
        </patternFill>
      </fill>
    </dxf>
    <dxf>
      <font>
        <color rgb="FF000000"/>
      </font>
      <border>
        <left style="thin">
          <color rgb="FFF4B084"/>
        </left>
        <right style="thin">
          <color rgb="FFF4B084"/>
        </right>
        <top style="thin">
          <color rgb="FFF4B084"/>
        </top>
        <bottom style="thin">
          <color rgb="FFF4B084"/>
        </bottom>
        <horizontal style="thin">
          <color rgb="FFF4B084"/>
        </horizontal>
      </border>
    </dxf>
  </dxfs>
  <tableStyles count="2" defaultTableStyle="TableStyleMedium9" defaultPivotStyle="PivotStyleLight16">
    <tableStyle name="TableStyleMedium3 2" pivot="0" count="7" xr9:uid="{00000000-0011-0000-FFFF-FFFF00000000}">
      <tableStyleElement type="wholeTable" dxfId="541"/>
      <tableStyleElement type="headerRow" dxfId="540"/>
      <tableStyleElement type="totalRow" dxfId="539"/>
      <tableStyleElement type="firstColumn" dxfId="538"/>
      <tableStyleElement type="lastColumn" dxfId="537"/>
      <tableStyleElement type="firstRowStripe" dxfId="536"/>
      <tableStyleElement type="firstColumnStripe" dxfId="535"/>
    </tableStyle>
    <tableStyle name="TableStyleMedium3 3" pivot="0" count="7" xr9:uid="{00000000-0011-0000-FFFF-FFFF01000000}">
      <tableStyleElement type="wholeTable" dxfId="534"/>
      <tableStyleElement type="headerRow" dxfId="533"/>
      <tableStyleElement type="totalRow" dxfId="532"/>
      <tableStyleElement type="firstColumn" dxfId="531"/>
      <tableStyleElement type="lastColumn" dxfId="530"/>
      <tableStyleElement type="firstRowStripe" dxfId="529"/>
      <tableStyleElement type="firstColumnStripe" dxfId="5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4132342515867" displayName="Tableau4132342515867" ref="C4:F13" totalsRowCount="1" headerRowDxfId="527" dataDxfId="526" totalsRowDxfId="525">
  <autoFilter ref="C4:F12" xr:uid="{00000000-0009-0000-0100-000001000000}"/>
  <tableColumns count="4">
    <tableColumn id="1" xr3:uid="{00000000-0010-0000-0000-000001000000}" name="Details" totalsRowLabel="Total" dataDxfId="524" totalsRowDxfId="238"/>
    <tableColumn id="2" xr3:uid="{00000000-0010-0000-0000-000002000000}" name="Date" dataDxfId="523" totalsRowDxfId="237"/>
    <tableColumn id="3" xr3:uid="{00000000-0010-0000-0000-000003000000}" name="Revenues" totalsRowFunction="custom" dataDxfId="522" totalsRowDxfId="236">
      <totalsRowFormula>SUBTOTAL(9,Tableau4132342515867[Revenues])</totalsRowFormula>
    </tableColumn>
    <tableColumn id="4" xr3:uid="{00000000-0010-0000-0000-000004000000}" name="Expenses" totalsRowFunction="custom" dataDxfId="521" totalsRowDxfId="235">
      <totalsRowFormula>SUBTOTAL(9,Tableau4132342515867[Expenses])</totalsRowFormula>
    </tableColumn>
  </tableColumns>
  <tableStyleInfo name="TableStyleMedium3 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446162645546170" displayName="Tableau446162645546170" ref="C16:F25" totalsRowCount="1" headerRowDxfId="229" dataDxfId="520" totalsRowDxfId="519">
  <autoFilter ref="C16:F24" xr:uid="{00000000-0009-0000-0100-000002000000}"/>
  <tableColumns count="4">
    <tableColumn id="1" xr3:uid="{00000000-0010-0000-0100-000001000000}" name="Details" totalsRowLabel="Total" dataDxfId="518" totalsRowDxfId="228"/>
    <tableColumn id="2" xr3:uid="{00000000-0010-0000-0100-000002000000}" name="Date" dataDxfId="517" totalsRowDxfId="227"/>
    <tableColumn id="3" xr3:uid="{00000000-0010-0000-0100-000003000000}" name="Revenues" totalsRowFunction="custom" dataDxfId="516" totalsRowDxfId="226">
      <totalsRowFormula>SUBTOTAL(9,Tableau446162645546170[Revenues])</totalsRowFormula>
    </tableColumn>
    <tableColumn id="4" xr3:uid="{00000000-0010-0000-0100-000004000000}" name="Expenses" totalsRowFunction="custom" dataDxfId="515" totalsRowDxfId="225">
      <totalsRowFormula>SUBTOTAL(9,Tableau446162645546170[Expenses])</totalsRowFormula>
    </tableColumn>
  </tableColumns>
  <tableStyleInfo name="TableStyleMedium3 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44616264554617020" displayName="Tableau44616264554617020" ref="I16:L25" totalsRowCount="1" headerRowDxfId="224" dataDxfId="514" totalsRowDxfId="513">
  <autoFilter ref="I16:L24" xr:uid="{00000000-0009-0000-0100-000003000000}"/>
  <tableColumns count="4">
    <tableColumn id="1" xr3:uid="{00000000-0010-0000-0200-000001000000}" name="Details" totalsRowLabel="Total" dataDxfId="512" totalsRowDxfId="223"/>
    <tableColumn id="2" xr3:uid="{00000000-0010-0000-0200-000002000000}" name="Date" dataDxfId="511" totalsRowDxfId="222"/>
    <tableColumn id="3" xr3:uid="{00000000-0010-0000-0200-000003000000}" name="Revenues" totalsRowFunction="custom" dataDxfId="510" totalsRowDxfId="221">
      <totalsRowFormula>SUBTOTAL(9,Tableau44616264554617020[Revenues])</totalsRowFormula>
    </tableColumn>
    <tableColumn id="4" xr3:uid="{00000000-0010-0000-0200-000004000000}" name="Expenses" totalsRowFunction="custom" dataDxfId="509" totalsRowDxfId="220">
      <totalsRowFormula>SUBTOTAL(9,Tableau44616264554617020[Expenses])</totalsRowFormula>
    </tableColumn>
  </tableColumns>
  <tableStyleInfo name="TableStyleMedium3 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44616264554617021" displayName="Tableau44616264554617021" ref="C28:F37" totalsRowCount="1" headerRowDxfId="219" dataDxfId="508" totalsRowDxfId="507">
  <autoFilter ref="C28:F36" xr:uid="{00000000-0009-0000-0100-000004000000}"/>
  <tableColumns count="4">
    <tableColumn id="1" xr3:uid="{00000000-0010-0000-0300-000001000000}" name="Details" totalsRowLabel="Total" dataDxfId="506" totalsRowDxfId="218"/>
    <tableColumn id="2" xr3:uid="{00000000-0010-0000-0300-000002000000}" name="Date" dataDxfId="505" totalsRowDxfId="217"/>
    <tableColumn id="3" xr3:uid="{00000000-0010-0000-0300-000003000000}" name="Revenues" totalsRowFunction="custom" dataDxfId="504" totalsRowDxfId="216">
      <totalsRowFormula>SUBTOTAL(9,Tableau44616264554617021[Revenues])</totalsRowFormula>
    </tableColumn>
    <tableColumn id="4" xr3:uid="{00000000-0010-0000-0300-000004000000}" name="Expenses" totalsRowFunction="custom" dataDxfId="503" totalsRowDxfId="215">
      <totalsRowFormula>SUBTOTAL(9,Tableau44616264554617021[Expenses])</totalsRowFormula>
    </tableColumn>
  </tableColumns>
  <tableStyleInfo name="TableStyleMedium3 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au44616264554617022" displayName="Tableau44616264554617022" ref="I28:L37" totalsRowCount="1" headerRowDxfId="214" dataDxfId="502" totalsRowDxfId="501">
  <autoFilter ref="I28:L36" xr:uid="{00000000-0009-0000-0100-000005000000}"/>
  <tableColumns count="4">
    <tableColumn id="1" xr3:uid="{00000000-0010-0000-0400-000001000000}" name="Details" totalsRowLabel="Total" dataDxfId="500" totalsRowDxfId="213"/>
    <tableColumn id="2" xr3:uid="{00000000-0010-0000-0400-000002000000}" name="Date" dataDxfId="499" totalsRowDxfId="212"/>
    <tableColumn id="3" xr3:uid="{00000000-0010-0000-0400-000003000000}" name="Revenues" totalsRowFunction="custom" dataDxfId="498" totalsRowDxfId="211">
      <totalsRowFormula>SUBTOTAL(9,Tableau44616264554617022[Revenues])</totalsRowFormula>
    </tableColumn>
    <tableColumn id="4" xr3:uid="{00000000-0010-0000-0400-000004000000}" name="Expenses" totalsRowFunction="custom" dataDxfId="497" totalsRowDxfId="210">
      <totalsRowFormula>SUBTOTAL(9,Tableau44616264554617022[Expenses])</totalsRowFormula>
    </tableColumn>
  </tableColumns>
  <tableStyleInfo name="TableStyleMedium3 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u44616264554617023" displayName="Tableau44616264554617023" ref="C40:F49" totalsRowCount="1" headerRowDxfId="209" dataDxfId="496" totalsRowDxfId="495">
  <autoFilter ref="C40:F48" xr:uid="{00000000-0009-0000-0100-000006000000}"/>
  <tableColumns count="4">
    <tableColumn id="1" xr3:uid="{00000000-0010-0000-0500-000001000000}" name="Details" totalsRowLabel="Total" dataDxfId="494" totalsRowDxfId="208"/>
    <tableColumn id="2" xr3:uid="{00000000-0010-0000-0500-000002000000}" name="Date" dataDxfId="493" totalsRowDxfId="207"/>
    <tableColumn id="3" xr3:uid="{00000000-0010-0000-0500-000003000000}" name="Revenues" totalsRowFunction="custom" dataDxfId="492" totalsRowDxfId="206">
      <totalsRowFormula>SUBTOTAL(9,Tableau44616264554617023[Revenues])</totalsRowFormula>
    </tableColumn>
    <tableColumn id="4" xr3:uid="{00000000-0010-0000-0500-000004000000}" name="Expenses" totalsRowFunction="custom" dataDxfId="491" totalsRowDxfId="205">
      <totalsRowFormula>SUBTOTAL(9,Tableau44616264554617023[Expenses])</totalsRowFormula>
    </tableColumn>
  </tableColumns>
  <tableStyleInfo name="TableStyleMedium3 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au44616264554617024" displayName="Tableau44616264554617024" ref="I40:L49" totalsRowCount="1" headerRowDxfId="204" dataDxfId="490" totalsRowDxfId="489">
  <autoFilter ref="I40:L48" xr:uid="{00000000-0009-0000-0100-000007000000}"/>
  <tableColumns count="4">
    <tableColumn id="1" xr3:uid="{00000000-0010-0000-0600-000001000000}" name="Details" totalsRowLabel="Total" dataDxfId="488" totalsRowDxfId="203"/>
    <tableColumn id="2" xr3:uid="{00000000-0010-0000-0600-000002000000}" name="Date" dataDxfId="487" totalsRowDxfId="202"/>
    <tableColumn id="3" xr3:uid="{00000000-0010-0000-0600-000003000000}" name="Revenues" totalsRowFunction="custom" dataDxfId="486" totalsRowDxfId="201">
      <totalsRowFormula>SUBTOTAL(9,Tableau44616264554617024[Revenues])</totalsRowFormula>
    </tableColumn>
    <tableColumn id="4" xr3:uid="{00000000-0010-0000-0600-000004000000}" name="Expenses" totalsRowFunction="custom" dataDxfId="485" totalsRowDxfId="200">
      <totalsRowFormula>SUBTOTAL(9,Tableau44616264554617024[Expenses])</totalsRowFormula>
    </tableColumn>
  </tableColumns>
  <tableStyleInfo name="TableStyleMedium3 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au44616264554617025" displayName="Tableau44616264554617025" ref="C52:F61" totalsRowCount="1" headerRowDxfId="199" dataDxfId="484" totalsRowDxfId="483">
  <autoFilter ref="C52:F60" xr:uid="{00000000-0009-0000-0100-000008000000}"/>
  <tableColumns count="4">
    <tableColumn id="1" xr3:uid="{00000000-0010-0000-0700-000001000000}" name="Details" totalsRowLabel="Total" dataDxfId="482" totalsRowDxfId="198"/>
    <tableColumn id="2" xr3:uid="{00000000-0010-0000-0700-000002000000}" name="Date" dataDxfId="481" totalsRowDxfId="197"/>
    <tableColumn id="3" xr3:uid="{00000000-0010-0000-0700-000003000000}" name="Revenues" totalsRowFunction="custom" dataDxfId="480" totalsRowDxfId="196">
      <totalsRowFormula>SUBTOTAL(9,Tableau44616264554617025[Revenues])</totalsRowFormula>
    </tableColumn>
    <tableColumn id="4" xr3:uid="{00000000-0010-0000-0700-000004000000}" name="Expenses" totalsRowFunction="custom" dataDxfId="479" totalsRowDxfId="195">
      <totalsRowFormula>SUBTOTAL(9,Tableau44616264554617025[Expenses])</totalsRowFormula>
    </tableColumn>
  </tableColumns>
  <tableStyleInfo name="TableStyleMedium3 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au44616264554617014" displayName="Tableau44616264554617014" ref="I4:L13" totalsRowCount="1" headerRowDxfId="234" dataDxfId="478" totalsRowDxfId="477">
  <autoFilter ref="I4:L12" xr:uid="{00000000-0009-0000-0100-00000B000000}"/>
  <tableColumns count="4">
    <tableColumn id="1" xr3:uid="{00000000-0010-0000-0A00-000001000000}" name="Details" totalsRowLabel="Total" dataDxfId="476" totalsRowDxfId="233"/>
    <tableColumn id="2" xr3:uid="{00000000-0010-0000-0A00-000002000000}" name="Date" dataDxfId="475" totalsRowDxfId="232"/>
    <tableColumn id="3" xr3:uid="{00000000-0010-0000-0A00-000003000000}" name="Revenues" totalsRowFunction="custom" dataDxfId="474" totalsRowDxfId="231">
      <totalsRowFormula>SUBTOTAL(9,Tableau44616264554617014[Revenues])</totalsRowFormula>
    </tableColumn>
    <tableColumn id="4" xr3:uid="{00000000-0010-0000-0A00-000004000000}" name="Expenses" totalsRowFunction="custom" dataDxfId="473" totalsRowDxfId="230">
      <totalsRowFormula>SUBTOTAL(9,Tableau44616264554617014[Expenses])</totalsRowFormula>
    </tableColumn>
  </tableColumns>
  <tableStyleInfo name="TableStyleMedium3 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au413234251586713" displayName="Tableau413234251586713" ref="C4:F13" totalsRowCount="1" headerRowDxfId="194" dataDxfId="472" totalsRowDxfId="471">
  <autoFilter ref="C4:F12" xr:uid="{00000000-0009-0000-0100-00000C000000}"/>
  <tableColumns count="4">
    <tableColumn id="1" xr3:uid="{00000000-0010-0000-0B00-000001000000}" name="Details" totalsRowLabel="Total" dataDxfId="470" totalsRowDxfId="193"/>
    <tableColumn id="2" xr3:uid="{00000000-0010-0000-0B00-000002000000}" name="Date" dataDxfId="469" totalsRowDxfId="192"/>
    <tableColumn id="3" xr3:uid="{00000000-0010-0000-0B00-000003000000}" name="Revenues" totalsRowFunction="custom" dataDxfId="468" totalsRowDxfId="191">
      <totalsRowFormula>SUBTOTAL(9,Tableau413234251586713[Revenues])</totalsRowFormula>
    </tableColumn>
    <tableColumn id="4" xr3:uid="{00000000-0010-0000-0B00-000004000000}" name="Expenses" totalsRowFunction="custom" dataDxfId="467" totalsRowDxfId="190">
      <totalsRowFormula>SUBTOTAL(9,Tableau413234251586713[Expenses])</totalsRowFormula>
    </tableColumn>
  </tableColumns>
  <tableStyleInfo name="TableStyleMedium3 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au44616264554617015" displayName="Tableau44616264554617015" ref="C16:F25" totalsRowCount="1" headerRowDxfId="189" dataDxfId="466" totalsRowDxfId="465">
  <autoFilter ref="C16:F24" xr:uid="{00000000-0009-0000-0100-00000D000000}"/>
  <tableColumns count="4">
    <tableColumn id="1" xr3:uid="{00000000-0010-0000-0C00-000001000000}" name="Details" totalsRowLabel="Total" dataDxfId="464" totalsRowDxfId="188"/>
    <tableColumn id="2" xr3:uid="{00000000-0010-0000-0C00-000002000000}" name="Date" dataDxfId="463" totalsRowDxfId="187"/>
    <tableColumn id="3" xr3:uid="{00000000-0010-0000-0C00-000003000000}" name="Revenues" totalsRowFunction="custom" dataDxfId="462" totalsRowDxfId="186">
      <totalsRowFormula>SUBTOTAL(9,Tableau44616264554617015[Revenues])</totalsRowFormula>
    </tableColumn>
    <tableColumn id="4" xr3:uid="{00000000-0010-0000-0C00-000004000000}" name="Expenses" totalsRowFunction="custom" dataDxfId="461" totalsRowDxfId="185">
      <totalsRowFormula>SUBTOTAL(9,Tableau44616264554617015[Expenses])</totalsRowFormula>
    </tableColumn>
  </tableColumns>
  <tableStyleInfo name="TableStyleMedium3 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au4461626455461702015" displayName="Tableau4461626455461702015" ref="I16:L25" totalsRowCount="1" headerRowDxfId="179" dataDxfId="460" totalsRowDxfId="459">
  <autoFilter ref="I16:L24" xr:uid="{00000000-0009-0000-0100-00000E000000}"/>
  <tableColumns count="4">
    <tableColumn id="1" xr3:uid="{00000000-0010-0000-0D00-000001000000}" name="Details" totalsRowLabel="Total" dataDxfId="458" totalsRowDxfId="178"/>
    <tableColumn id="2" xr3:uid="{00000000-0010-0000-0D00-000002000000}" name="Date" dataDxfId="457" totalsRowDxfId="177"/>
    <tableColumn id="3" xr3:uid="{00000000-0010-0000-0D00-000003000000}" name="Revenues" totalsRowFunction="custom" dataDxfId="456" totalsRowDxfId="176">
      <totalsRowFormula>SUBTOTAL(9,Tableau4461626455461702015[Revenues])</totalsRowFormula>
    </tableColumn>
    <tableColumn id="4" xr3:uid="{00000000-0010-0000-0D00-000004000000}" name="Expenses" totalsRowFunction="custom" dataDxfId="455" totalsRowDxfId="175">
      <totalsRowFormula>SUBTOTAL(9,Tableau4461626455461702015[Expenses])</totalsRowFormula>
    </tableColumn>
  </tableColumns>
  <tableStyleInfo name="TableStyleMedium3 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au4461626455461702116" displayName="Tableau4461626455461702116" ref="C28:F37" totalsRowCount="1" headerRowDxfId="169" dataDxfId="454" totalsRowDxfId="453">
  <autoFilter ref="C28:F36" xr:uid="{00000000-0009-0000-0100-00000F000000}"/>
  <tableColumns count="4">
    <tableColumn id="1" xr3:uid="{00000000-0010-0000-0E00-000001000000}" name="Details" totalsRowLabel="Total" dataDxfId="452" totalsRowDxfId="168"/>
    <tableColumn id="2" xr3:uid="{00000000-0010-0000-0E00-000002000000}" name="Date" dataDxfId="451" totalsRowDxfId="167"/>
    <tableColumn id="3" xr3:uid="{00000000-0010-0000-0E00-000003000000}" name="Revenues" totalsRowFunction="custom" dataDxfId="450" totalsRowDxfId="166">
      <totalsRowFormula>SUBTOTAL(9,Tableau4461626455461702116[Revenues])</totalsRowFormula>
    </tableColumn>
    <tableColumn id="4" xr3:uid="{00000000-0010-0000-0E00-000004000000}" name="Expenses" totalsRowFunction="custom" dataDxfId="449" totalsRowDxfId="165">
      <totalsRowFormula>SUBTOTAL(9,Tableau4461626455461702116[Expenses])</totalsRowFormula>
    </tableColumn>
  </tableColumns>
  <tableStyleInfo name="TableStyleMedium3 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au4461626455461702217" displayName="Tableau4461626455461702217" ref="I28:L37" totalsRowCount="1" headerRowDxfId="174" dataDxfId="448" totalsRowDxfId="447">
  <autoFilter ref="I28:L36" xr:uid="{00000000-0009-0000-0100-000010000000}"/>
  <tableColumns count="4">
    <tableColumn id="1" xr3:uid="{00000000-0010-0000-0F00-000001000000}" name="Details" totalsRowLabel="Total" dataDxfId="446" totalsRowDxfId="173"/>
    <tableColumn id="2" xr3:uid="{00000000-0010-0000-0F00-000002000000}" name="Date" dataDxfId="445" totalsRowDxfId="172"/>
    <tableColumn id="3" xr3:uid="{00000000-0010-0000-0F00-000003000000}" name="Revenues" totalsRowFunction="custom" dataDxfId="444" totalsRowDxfId="171">
      <totalsRowFormula>SUBTOTAL(9,Tableau4461626455461702217[Revenues])</totalsRowFormula>
    </tableColumn>
    <tableColumn id="4" xr3:uid="{00000000-0010-0000-0F00-000004000000}" name="Expenses" totalsRowFunction="custom" dataDxfId="443" totalsRowDxfId="170">
      <totalsRowFormula>SUBTOTAL(9,Tableau4461626455461702217[Expenses])</totalsRowFormula>
    </tableColumn>
  </tableColumns>
  <tableStyleInfo name="TableStyleMedium3 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au4461626455461702318" displayName="Tableau4461626455461702318" ref="C40:F49" totalsRowCount="1" headerRowDxfId="164" dataDxfId="442" totalsRowDxfId="441">
  <autoFilter ref="C40:F48" xr:uid="{00000000-0009-0000-0100-000011000000}"/>
  <tableColumns count="4">
    <tableColumn id="1" xr3:uid="{00000000-0010-0000-1000-000001000000}" name="Details" totalsRowLabel="Total" dataDxfId="440" totalsRowDxfId="163"/>
    <tableColumn id="2" xr3:uid="{00000000-0010-0000-1000-000002000000}" name="Date" dataDxfId="439" totalsRowDxfId="162"/>
    <tableColumn id="3" xr3:uid="{00000000-0010-0000-1000-000003000000}" name="Revenues" totalsRowFunction="custom" dataDxfId="438" totalsRowDxfId="161">
      <totalsRowFormula>SUBTOTAL(9,Tableau4461626455461702318[Revenues])</totalsRowFormula>
    </tableColumn>
    <tableColumn id="4" xr3:uid="{00000000-0010-0000-1000-000004000000}" name="Expenses" totalsRowFunction="custom" dataDxfId="437" totalsRowDxfId="160">
      <totalsRowFormula>SUBTOTAL(9,Tableau4461626455461702318[Expenses])</totalsRowFormula>
    </tableColumn>
  </tableColumns>
  <tableStyleInfo name="TableStyleMedium3 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au4461626455461702419" displayName="Tableau4461626455461702419" ref="I40:L49" totalsRowCount="1" headerRowDxfId="159" dataDxfId="436" totalsRowDxfId="435">
  <autoFilter ref="I40:L48" xr:uid="{00000000-0009-0000-0100-000012000000}"/>
  <tableColumns count="4">
    <tableColumn id="1" xr3:uid="{00000000-0010-0000-1100-000001000000}" name="Details" totalsRowLabel="Total" dataDxfId="434" totalsRowDxfId="158"/>
    <tableColumn id="2" xr3:uid="{00000000-0010-0000-1100-000002000000}" name="Date" dataDxfId="433" totalsRowDxfId="157"/>
    <tableColumn id="3" xr3:uid="{00000000-0010-0000-1100-000003000000}" name="Revenues" totalsRowFunction="custom" dataDxfId="432" totalsRowDxfId="156">
      <totalsRowFormula>SUBTOTAL(9,Tableau4461626455461702419[Revenues])</totalsRowFormula>
    </tableColumn>
    <tableColumn id="4" xr3:uid="{00000000-0010-0000-1100-000004000000}" name="Expenses" totalsRowFunction="custom" dataDxfId="431" totalsRowDxfId="155">
      <totalsRowFormula>SUBTOTAL(9,Tableau4461626455461702419[Expenses])</totalsRowFormula>
    </tableColumn>
  </tableColumns>
  <tableStyleInfo name="TableStyleMedium3 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au4461626455461702520" displayName="Tableau4461626455461702520" ref="C52:F61" totalsRowCount="1" headerRowDxfId="154" dataDxfId="430" totalsRowDxfId="429">
  <autoFilter ref="C52:F60" xr:uid="{00000000-0009-0000-0100-000013000000}"/>
  <tableColumns count="4">
    <tableColumn id="1" xr3:uid="{00000000-0010-0000-1200-000001000000}" name="Details" totalsRowLabel="Total" dataDxfId="428" totalsRowDxfId="153"/>
    <tableColumn id="2" xr3:uid="{00000000-0010-0000-1200-000002000000}" name="Date" dataDxfId="427" totalsRowDxfId="152"/>
    <tableColumn id="3" xr3:uid="{00000000-0010-0000-1200-000003000000}" name="Revenues" totalsRowFunction="custom" dataDxfId="426" totalsRowDxfId="151">
      <totalsRowFormula>SUBTOTAL(9,Tableau4461626455461702520[Revenues])</totalsRowFormula>
    </tableColumn>
    <tableColumn id="4" xr3:uid="{00000000-0010-0000-1200-000004000000}" name="Expenses" totalsRowFunction="custom" dataDxfId="425" totalsRowDxfId="150">
      <totalsRowFormula>SUBTOTAL(9,Tableau4461626455461702520[Expenses])</totalsRowFormula>
    </tableColumn>
  </tableColumns>
  <tableStyleInfo name="TableStyleMedium3 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au4461626455461701423" displayName="Tableau4461626455461701423" ref="I4:L13" totalsRowCount="1" headerRowDxfId="184" dataDxfId="424" totalsRowDxfId="423">
  <autoFilter ref="I4:L12" xr:uid="{00000000-0009-0000-0100-000014000000}"/>
  <tableColumns count="4">
    <tableColumn id="1" xr3:uid="{00000000-0010-0000-1300-000001000000}" name="Details" totalsRowLabel="Total" dataDxfId="422" totalsRowDxfId="183"/>
    <tableColumn id="2" xr3:uid="{00000000-0010-0000-1300-000002000000}" name="Date" dataDxfId="421" totalsRowDxfId="182"/>
    <tableColumn id="3" xr3:uid="{00000000-0010-0000-1300-000003000000}" name="Revenues" totalsRowFunction="custom" dataDxfId="420" totalsRowDxfId="181">
      <totalsRowFormula>SUBTOTAL(9,Tableau4461626455461701423[Revenues])</totalsRowFormula>
    </tableColumn>
    <tableColumn id="4" xr3:uid="{00000000-0010-0000-1300-000004000000}" name="Expenses" totalsRowFunction="custom" dataDxfId="419" totalsRowDxfId="180">
      <totalsRowFormula>SUBTOTAL(9,Tableau4461626455461701423[Expenses])</totalsRowFormula>
    </tableColumn>
  </tableColumns>
  <tableStyleInfo name="TableStyleMedium3 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au41323425158672233" displayName="Tableau41323425158672233" ref="C4:F15" totalsRowCount="1" headerRowDxfId="149" dataDxfId="418" totalsRowDxfId="417">
  <autoFilter ref="C4:F14" xr:uid="{00000000-0009-0000-0100-000015000000}"/>
  <tableColumns count="4">
    <tableColumn id="1" xr3:uid="{00000000-0010-0000-1400-000001000000}" name="Details" totalsRowLabel="Total" dataDxfId="416" totalsRowDxfId="148"/>
    <tableColumn id="2" xr3:uid="{00000000-0010-0000-1400-000002000000}" name="Date" dataDxfId="415" totalsRowDxfId="147"/>
    <tableColumn id="3" xr3:uid="{00000000-0010-0000-1400-000003000000}" name="Revenues" totalsRowFunction="custom" dataDxfId="414" totalsRowDxfId="146">
      <totalsRowFormula>SUBTOTAL(9,Tableau41323425158672233[Revenues])</totalsRowFormula>
    </tableColumn>
    <tableColumn id="4" xr3:uid="{00000000-0010-0000-1400-000004000000}" name="Expenses" totalsRowFunction="custom" dataDxfId="413" totalsRowDxfId="145">
      <totalsRowFormula>SUBTOTAL(9,Tableau41323425158672233[Expenses])</totalsRowFormula>
    </tableColumn>
  </tableColumns>
  <tableStyleInfo name="TableStyleMedium3 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au446162645546170143241" displayName="Tableau446162645546170143241" ref="I4:L13" totalsRowCount="1" headerRowDxfId="144" dataDxfId="412" totalsRowDxfId="411">
  <autoFilter ref="I4:L12" xr:uid="{00000000-0009-0000-0100-000016000000}"/>
  <tableColumns count="4">
    <tableColumn id="1" xr3:uid="{00000000-0010-0000-1500-000001000000}" name="Details" totalsRowLabel="Total" dataDxfId="410" totalsRowDxfId="143"/>
    <tableColumn id="2" xr3:uid="{00000000-0010-0000-1500-000002000000}" name="Date" dataDxfId="409" totalsRowDxfId="142"/>
    <tableColumn id="3" xr3:uid="{00000000-0010-0000-1500-000003000000}" name="Revenues" totalsRowFunction="custom" dataDxfId="408" totalsRowDxfId="141">
      <totalsRowFormula>SUBTOTAL(9,Tableau446162645546170143241[Revenues])</totalsRowFormula>
    </tableColumn>
    <tableColumn id="4" xr3:uid="{00000000-0010-0000-1500-000004000000}" name="Expenses" totalsRowFunction="custom" dataDxfId="407" totalsRowDxfId="140">
      <totalsRowFormula>SUBTOTAL(9,Tableau446162645546170143241[Expenses])</totalsRowFormula>
    </tableColumn>
  </tableColumns>
  <tableStyleInfo name="TableStyleMedium3 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au4461626455461702834" displayName="Tableau4461626455461702834" ref="C18:F27" totalsRowCount="1" headerRowDxfId="139" dataDxfId="406" totalsRowDxfId="405">
  <autoFilter ref="C18:F26" xr:uid="{00000000-0009-0000-0100-000017000000}"/>
  <tableColumns count="4">
    <tableColumn id="1" xr3:uid="{00000000-0010-0000-1600-000001000000}" name="Details" totalsRowLabel="Total" dataDxfId="404" totalsRowDxfId="138"/>
    <tableColumn id="2" xr3:uid="{00000000-0010-0000-1600-000002000000}" name="Date" dataDxfId="403" totalsRowDxfId="137"/>
    <tableColumn id="3" xr3:uid="{00000000-0010-0000-1600-000003000000}" name="Revenues" totalsRowFunction="custom" dataDxfId="402" totalsRowDxfId="136">
      <totalsRowFormula>SUBTOTAL(9,Tableau4461626455461702834[Revenues])</totalsRowFormula>
    </tableColumn>
    <tableColumn id="4" xr3:uid="{00000000-0010-0000-1600-000004000000}" name="Expenses" totalsRowFunction="custom" dataDxfId="401" totalsRowDxfId="135">
      <totalsRowFormula>SUBTOTAL(9,Tableau4461626455461702834[Expenses])</totalsRowFormula>
    </tableColumn>
  </tableColumns>
  <tableStyleInfo name="TableStyleMedium3 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au413234251586722" displayName="Tableau413234251586722" ref="C4:F13" totalsRowCount="1" headerRowDxfId="134" dataDxfId="400" totalsRowDxfId="399">
  <autoFilter ref="C4:F12" xr:uid="{00000000-0009-0000-0100-000018000000}"/>
  <tableColumns count="4">
    <tableColumn id="1" xr3:uid="{00000000-0010-0000-1700-000001000000}" name="Details" totalsRowLabel="Total" dataDxfId="398" totalsRowDxfId="133"/>
    <tableColumn id="2" xr3:uid="{00000000-0010-0000-1700-000002000000}" name="Date" dataDxfId="397" totalsRowDxfId="132"/>
    <tableColumn id="3" xr3:uid="{00000000-0010-0000-1700-000003000000}" name="Revenues" totalsRowFunction="custom" dataDxfId="396" totalsRowDxfId="131">
      <totalsRowFormula>SUBTOTAL(9,Tableau413234251586722[Revenues])</totalsRowFormula>
    </tableColumn>
    <tableColumn id="4" xr3:uid="{00000000-0010-0000-1700-000004000000}" name="Expenses" totalsRowFunction="custom" dataDxfId="395" totalsRowDxfId="130">
      <totalsRowFormula>SUBTOTAL(9,Tableau413234251586722[Expenses])</totalsRowFormula>
    </tableColumn>
  </tableColumns>
  <tableStyleInfo name="TableStyleMedium3 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au44616264554617028" displayName="Tableau44616264554617028" ref="C16:F25" totalsRowCount="1" headerRowDxfId="99" dataDxfId="394" totalsRowDxfId="393">
  <autoFilter ref="C16:F24" xr:uid="{00000000-0009-0000-0100-000019000000}"/>
  <tableColumns count="4">
    <tableColumn id="1" xr3:uid="{00000000-0010-0000-1800-000001000000}" name="Details" totalsRowLabel="Total" dataDxfId="392" totalsRowDxfId="98"/>
    <tableColumn id="2" xr3:uid="{00000000-0010-0000-1800-000002000000}" name="Date" dataDxfId="391" totalsRowDxfId="97"/>
    <tableColumn id="3" xr3:uid="{00000000-0010-0000-1800-000003000000}" name="Revenues" totalsRowFunction="custom" dataDxfId="390" totalsRowDxfId="96">
      <totalsRowFormula>SUBTOTAL(9,Tableau44616264554617028[Revenues])</totalsRowFormula>
    </tableColumn>
    <tableColumn id="4" xr3:uid="{00000000-0010-0000-1800-000004000000}" name="Expenses" totalsRowFunction="custom" dataDxfId="389" totalsRowDxfId="95">
      <totalsRowFormula>SUBTOTAL(9,Tableau44616264554617028[Expenses])</totalsRowFormula>
    </tableColumn>
  </tableColumns>
  <tableStyleInfo name="TableStyleMedium3 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au4461626455461702024" displayName="Tableau4461626455461702024" ref="I16:L25" totalsRowCount="1" headerRowDxfId="124" dataDxfId="388" totalsRowDxfId="387">
  <autoFilter ref="I16:L24" xr:uid="{00000000-0009-0000-0100-00001A000000}"/>
  <tableColumns count="4">
    <tableColumn id="1" xr3:uid="{00000000-0010-0000-1900-000001000000}" name="Details" totalsRowLabel="Total" dataDxfId="386" totalsRowDxfId="123"/>
    <tableColumn id="2" xr3:uid="{00000000-0010-0000-1900-000002000000}" name="Date" dataDxfId="385" totalsRowDxfId="122"/>
    <tableColumn id="3" xr3:uid="{00000000-0010-0000-1900-000003000000}" name="Revenues" totalsRowFunction="custom" dataDxfId="384" totalsRowDxfId="121">
      <totalsRowFormula>SUBTOTAL(9,Tableau4461626455461702024[Revenues])</totalsRowFormula>
    </tableColumn>
    <tableColumn id="4" xr3:uid="{00000000-0010-0000-1900-000004000000}" name="Expenses" totalsRowFunction="custom" dataDxfId="383" totalsRowDxfId="120">
      <totalsRowFormula>SUBTOTAL(9,Tableau4461626455461702024[Expenses])</totalsRowFormula>
    </tableColumn>
  </tableColumns>
  <tableStyleInfo name="TableStyleMedium3 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au4461626455461702125" displayName="Tableau4461626455461702125" ref="C28:F37" totalsRowCount="1" headerRowDxfId="104" dataDxfId="382" totalsRowDxfId="381">
  <autoFilter ref="C28:F36" xr:uid="{00000000-0009-0000-0100-00001B000000}"/>
  <tableColumns count="4">
    <tableColumn id="1" xr3:uid="{00000000-0010-0000-1A00-000001000000}" name="Details" totalsRowLabel="Total" dataDxfId="380" totalsRowDxfId="103"/>
    <tableColumn id="2" xr3:uid="{00000000-0010-0000-1A00-000002000000}" name="Date" dataDxfId="379" totalsRowDxfId="102"/>
    <tableColumn id="3" xr3:uid="{00000000-0010-0000-1A00-000003000000}" name="Revenues" totalsRowFunction="custom" dataDxfId="378" totalsRowDxfId="101">
      <totalsRowFormula>SUBTOTAL(9,Tableau4461626455461702125[Revenues])</totalsRowFormula>
    </tableColumn>
    <tableColumn id="4" xr3:uid="{00000000-0010-0000-1A00-000004000000}" name="Expenses" totalsRowFunction="custom" dataDxfId="377" totalsRowDxfId="100">
      <totalsRowFormula>SUBTOTAL(9,Tableau4461626455461702125[Expenses])</totalsRowFormula>
    </tableColumn>
  </tableColumns>
  <tableStyleInfo name="TableStyleMedium3 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au4461626455461702226" displayName="Tableau4461626455461702226" ref="I28:L37" totalsRowCount="1" headerRowDxfId="119" dataDxfId="376" totalsRowDxfId="375">
  <autoFilter ref="I28:L36" xr:uid="{00000000-0009-0000-0100-00001C000000}"/>
  <tableColumns count="4">
    <tableColumn id="1" xr3:uid="{00000000-0010-0000-1B00-000001000000}" name="Details" totalsRowLabel="Total" dataDxfId="374" totalsRowDxfId="118"/>
    <tableColumn id="2" xr3:uid="{00000000-0010-0000-1B00-000002000000}" name="Date" dataDxfId="373" totalsRowDxfId="117"/>
    <tableColumn id="3" xr3:uid="{00000000-0010-0000-1B00-000003000000}" name="Revenues" totalsRowFunction="custom" dataDxfId="372" totalsRowDxfId="116">
      <totalsRowFormula>SUBTOTAL(9,Tableau4461626455461702226[Revenues])</totalsRowFormula>
    </tableColumn>
    <tableColumn id="4" xr3:uid="{00000000-0010-0000-1B00-000004000000}" name="Expenses" totalsRowFunction="custom" dataDxfId="371" totalsRowDxfId="115">
      <totalsRowFormula>SUBTOTAL(9,Tableau4461626455461702226[Expenses])</totalsRowFormula>
    </tableColumn>
  </tableColumns>
  <tableStyleInfo name="TableStyleMedium3 3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au4461626455461702327" displayName="Tableau4461626455461702327" ref="C40:F49" totalsRowCount="1" headerRowDxfId="109" dataDxfId="370" totalsRowDxfId="369">
  <autoFilter ref="C40:F48" xr:uid="{00000000-0009-0000-0100-00001D000000}"/>
  <tableColumns count="4">
    <tableColumn id="1" xr3:uid="{00000000-0010-0000-1C00-000001000000}" name="Details" totalsRowLabel="Total" dataDxfId="368" totalsRowDxfId="108"/>
    <tableColumn id="2" xr3:uid="{00000000-0010-0000-1C00-000002000000}" name="Date" dataDxfId="367" totalsRowDxfId="107"/>
    <tableColumn id="3" xr3:uid="{00000000-0010-0000-1C00-000003000000}" name="Revenues" totalsRowFunction="custom" dataDxfId="366" totalsRowDxfId="106">
      <totalsRowFormula>SUBTOTAL(9,Tableau4461626455461702327[Revenues])</totalsRowFormula>
    </tableColumn>
    <tableColumn id="4" xr3:uid="{00000000-0010-0000-1C00-000004000000}" name="Expenses" totalsRowFunction="custom" dataDxfId="365" totalsRowDxfId="105">
      <totalsRowFormula>SUBTOTAL(9,Tableau4461626455461702327[Expenses])</totalsRowFormula>
    </tableColumn>
  </tableColumns>
  <tableStyleInfo name="TableStyleMedium3 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au4461626455461702428" displayName="Tableau4461626455461702428" ref="I40:L49" totalsRowCount="1" headerRowDxfId="114" dataDxfId="364" totalsRowDxfId="363">
  <autoFilter ref="I40:L48" xr:uid="{00000000-0009-0000-0100-00001E000000}"/>
  <tableColumns count="4">
    <tableColumn id="1" xr3:uid="{00000000-0010-0000-1D00-000001000000}" name="Details" totalsRowLabel="Total" dataDxfId="362" totalsRowDxfId="113"/>
    <tableColumn id="2" xr3:uid="{00000000-0010-0000-1D00-000002000000}" name="Date" dataDxfId="361" totalsRowDxfId="112"/>
    <tableColumn id="3" xr3:uid="{00000000-0010-0000-1D00-000003000000}" name="Revenues" totalsRowFunction="custom" dataDxfId="360" totalsRowDxfId="111">
      <totalsRowFormula>SUBTOTAL(9,Tableau4461626455461702428[Revenues])</totalsRowFormula>
    </tableColumn>
    <tableColumn id="4" xr3:uid="{00000000-0010-0000-1D00-000004000000}" name="Expenses" totalsRowFunction="custom" dataDxfId="359" totalsRowDxfId="110">
      <totalsRowFormula>SUBTOTAL(9,Tableau4461626455461702428[Expenses])</totalsRowFormula>
    </tableColumn>
  </tableColumns>
  <tableStyleInfo name="TableStyleMedium3 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au4461626455461702529" displayName="Tableau4461626455461702529" ref="C52:F61" totalsRowCount="1" headerRowDxfId="94" dataDxfId="358" totalsRowDxfId="357">
  <autoFilter ref="C52:F60" xr:uid="{00000000-0009-0000-0100-00001F000000}"/>
  <tableColumns count="4">
    <tableColumn id="1" xr3:uid="{00000000-0010-0000-1E00-000001000000}" name="Details" totalsRowLabel="Total" dataDxfId="356" totalsRowDxfId="93"/>
    <tableColumn id="2" xr3:uid="{00000000-0010-0000-1E00-000002000000}" name="Date" dataDxfId="355" totalsRowDxfId="92"/>
    <tableColumn id="3" xr3:uid="{00000000-0010-0000-1E00-000003000000}" name="Revenues" totalsRowFunction="custom" dataDxfId="354" totalsRowDxfId="91">
      <totalsRowFormula>SUBTOTAL(9,Tableau4461626455461702529[Revenues])</totalsRowFormula>
    </tableColumn>
    <tableColumn id="4" xr3:uid="{00000000-0010-0000-1E00-000004000000}" name="Expenses" totalsRowFunction="custom" dataDxfId="353" totalsRowDxfId="90">
      <totalsRowFormula>SUBTOTAL(9,Tableau4461626455461702529[Expenses])</totalsRowFormula>
    </tableColumn>
  </tableColumns>
  <tableStyleInfo name="TableStyleMedium3 3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au4461626455461701432" displayName="Tableau4461626455461701432" ref="I4:L13" totalsRowCount="1" headerRowDxfId="129" dataDxfId="352" totalsRowDxfId="351">
  <autoFilter ref="I4:L12" xr:uid="{00000000-0009-0000-0100-000020000000}"/>
  <tableColumns count="4">
    <tableColumn id="1" xr3:uid="{00000000-0010-0000-1F00-000001000000}" name="Details" totalsRowLabel="Total" dataDxfId="350" totalsRowDxfId="128"/>
    <tableColumn id="2" xr3:uid="{00000000-0010-0000-1F00-000002000000}" name="Date" dataDxfId="349" totalsRowDxfId="127"/>
    <tableColumn id="3" xr3:uid="{00000000-0010-0000-1F00-000003000000}" name="Revenues" totalsRowFunction="custom" dataDxfId="348" totalsRowDxfId="126">
      <totalsRowFormula>SUBTOTAL(9,Tableau4461626455461701432[Revenues])</totalsRowFormula>
    </tableColumn>
    <tableColumn id="4" xr3:uid="{00000000-0010-0000-1F00-000004000000}" name="Expenses" totalsRowFunction="custom" dataDxfId="347" totalsRowDxfId="125">
      <totalsRowFormula>SUBTOTAL(9,Tableau4461626455461701432[Expenses])</totalsRowFormula>
    </tableColumn>
  </tableColumns>
  <tableStyleInfo name="TableStyleMedium3 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au41323425158672251" displayName="Tableau41323425158672251" ref="C4:F13" totalsRowCount="1" headerRowDxfId="89" dataDxfId="346" totalsRowDxfId="345">
  <autoFilter ref="C4:F12" xr:uid="{00000000-0009-0000-0100-000027000000}"/>
  <tableColumns count="4">
    <tableColumn id="1" xr3:uid="{00000000-0010-0000-2600-000001000000}" name="Details" totalsRowLabel="Total" dataDxfId="344" totalsRowDxfId="88"/>
    <tableColumn id="2" xr3:uid="{00000000-0010-0000-2600-000002000000}" name="Date" dataDxfId="343" totalsRowDxfId="87"/>
    <tableColumn id="3" xr3:uid="{00000000-0010-0000-2600-000003000000}" name="Revenues" totalsRowFunction="custom" dataDxfId="342" totalsRowDxfId="86">
      <totalsRowFormula>SUBTOTAL(9,Tableau41323425158672251[Revenues])</totalsRowFormula>
    </tableColumn>
    <tableColumn id="4" xr3:uid="{00000000-0010-0000-2600-000004000000}" name="Expenses" totalsRowFunction="custom" dataDxfId="341" totalsRowDxfId="85">
      <totalsRowFormula>SUBTOTAL(9,Tableau41323425158672251[Expenses])</totalsRowFormula>
    </tableColumn>
  </tableColumns>
  <tableStyleInfo name="TableStyleMedium3 3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au4461626455461702852" displayName="Tableau4461626455461702852" ref="C16:F25" totalsRowCount="1" headerRowDxfId="84" dataDxfId="340" totalsRowDxfId="339">
  <autoFilter ref="C16:F24" xr:uid="{00000000-0009-0000-0100-000028000000}"/>
  <tableColumns count="4">
    <tableColumn id="1" xr3:uid="{00000000-0010-0000-2700-000001000000}" name="Details" totalsRowLabel="Total" dataDxfId="338" totalsRowDxfId="83"/>
    <tableColumn id="2" xr3:uid="{00000000-0010-0000-2700-000002000000}" name="Date" dataDxfId="337" totalsRowDxfId="82"/>
    <tableColumn id="3" xr3:uid="{00000000-0010-0000-2700-000003000000}" name="Revenues" totalsRowFunction="custom" dataDxfId="336" totalsRowDxfId="81">
      <totalsRowFormula>SUBTOTAL(9,Tableau4461626455461702852[Revenues])</totalsRowFormula>
    </tableColumn>
    <tableColumn id="4" xr3:uid="{00000000-0010-0000-2700-000004000000}" name="Expenses" totalsRowFunction="custom" dataDxfId="335" totalsRowDxfId="80">
      <totalsRowFormula>SUBTOTAL(9,Tableau4461626455461702852[Expenses])</totalsRowFormula>
    </tableColumn>
  </tableColumns>
  <tableStyleInfo name="TableStyleMedium3 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au446162645546170202453" displayName="Tableau446162645546170202453" ref="I16:L25" totalsRowCount="1" headerRowDxfId="69" dataDxfId="334" totalsRowDxfId="333">
  <autoFilter ref="I16:L24" xr:uid="{00000000-0009-0000-0100-000029000000}"/>
  <tableColumns count="4">
    <tableColumn id="1" xr3:uid="{00000000-0010-0000-2800-000001000000}" name="Details" totalsRowLabel="Total" dataDxfId="332" totalsRowDxfId="68"/>
    <tableColumn id="2" xr3:uid="{00000000-0010-0000-2800-000002000000}" name="Date" dataDxfId="331" totalsRowDxfId="67"/>
    <tableColumn id="3" xr3:uid="{00000000-0010-0000-2800-000003000000}" name="Revenues" totalsRowFunction="custom" dataDxfId="330" totalsRowDxfId="66">
      <totalsRowFormula>SUBTOTAL(9,Tableau446162645546170202453[Revenues])</totalsRowFormula>
    </tableColumn>
    <tableColumn id="4" xr3:uid="{00000000-0010-0000-2800-000004000000}" name="Expenses" totalsRowFunction="custom" dataDxfId="329" totalsRowDxfId="65">
      <totalsRowFormula>SUBTOTAL(9,Tableau446162645546170202453[Expenses])</totalsRowFormula>
    </tableColumn>
  </tableColumns>
  <tableStyleInfo name="TableStyleMedium3 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au446162645546170212554" displayName="Tableau446162645546170212554" ref="C28:F37" totalsRowCount="1" headerRowDxfId="79" dataDxfId="328" totalsRowDxfId="327">
  <autoFilter ref="C28:F36" xr:uid="{00000000-0009-0000-0100-00002A000000}"/>
  <tableColumns count="4">
    <tableColumn id="1" xr3:uid="{00000000-0010-0000-2900-000001000000}" name="Details" totalsRowLabel="Total" dataDxfId="326" totalsRowDxfId="78"/>
    <tableColumn id="2" xr3:uid="{00000000-0010-0000-2900-000002000000}" name="Date" dataDxfId="325" totalsRowDxfId="77"/>
    <tableColumn id="3" xr3:uid="{00000000-0010-0000-2900-000003000000}" name="Revenues" totalsRowFunction="custom" dataDxfId="324" totalsRowDxfId="76">
      <totalsRowFormula>SUBTOTAL(9,Tableau446162645546170212554[Revenues])</totalsRowFormula>
    </tableColumn>
    <tableColumn id="4" xr3:uid="{00000000-0010-0000-2900-000004000000}" name="Expenses" totalsRowFunction="custom" dataDxfId="323" totalsRowDxfId="75">
      <totalsRowFormula>SUBTOTAL(9,Tableau446162645546170212554[Expenses])</totalsRowFormula>
    </tableColumn>
  </tableColumns>
  <tableStyleInfo name="TableStyleMedium3 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au446162645546170222655" displayName="Tableau446162645546170222655" ref="I28:L37" totalsRowCount="1" headerRowDxfId="74" dataDxfId="322" totalsRowDxfId="321">
  <autoFilter ref="I28:L36" xr:uid="{00000000-0009-0000-0100-00002B000000}"/>
  <tableColumns count="4">
    <tableColumn id="1" xr3:uid="{00000000-0010-0000-2A00-000001000000}" name="Details" totalsRowLabel="Total" dataDxfId="320" totalsRowDxfId="73"/>
    <tableColumn id="2" xr3:uid="{00000000-0010-0000-2A00-000002000000}" name="Date" dataDxfId="319" totalsRowDxfId="72"/>
    <tableColumn id="3" xr3:uid="{00000000-0010-0000-2A00-000003000000}" name="Revenues" totalsRowFunction="custom" dataDxfId="318" totalsRowDxfId="71">
      <totalsRowFormula>SUBTOTAL(9,Tableau446162645546170222655[Revenues])</totalsRowFormula>
    </tableColumn>
    <tableColumn id="4" xr3:uid="{00000000-0010-0000-2A00-000004000000}" name="Expenses" totalsRowFunction="custom" dataDxfId="317" totalsRowDxfId="70">
      <totalsRowFormula>SUBTOTAL(9,Tableau446162645546170222655[Expenses])</totalsRowFormula>
    </tableColumn>
  </tableColumns>
  <tableStyleInfo name="TableStyleMedium3 3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au446162645546170143259" displayName="Tableau446162645546170143259" ref="I4:L13" totalsRowCount="1" headerRowDxfId="64" dataDxfId="316" totalsRowDxfId="315">
  <autoFilter ref="I4:L12" xr:uid="{00000000-0009-0000-0100-00002D000000}"/>
  <tableColumns count="4">
    <tableColumn id="1" xr3:uid="{00000000-0010-0000-2C00-000001000000}" name="Details" totalsRowLabel="Total" dataDxfId="314" totalsRowDxfId="63"/>
    <tableColumn id="2" xr3:uid="{00000000-0010-0000-2C00-000002000000}" name="Date" dataDxfId="313" totalsRowDxfId="62"/>
    <tableColumn id="3" xr3:uid="{00000000-0010-0000-2C00-000003000000}" name="Revenues" totalsRowFunction="custom" dataDxfId="312" totalsRowDxfId="61">
      <totalsRowFormula>SUBTOTAL(9,Tableau446162645546170143259[Revenues])</totalsRowFormula>
    </tableColumn>
    <tableColumn id="4" xr3:uid="{00000000-0010-0000-2C00-000004000000}" name="Expenses" totalsRowFunction="custom" dataDxfId="311" totalsRowDxfId="60">
      <totalsRowFormula>SUBTOTAL(9,Tableau446162645546170143259[Expenses])</totalsRowFormula>
    </tableColumn>
  </tableColumns>
  <tableStyleInfo name="TableStyleMedium3 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au4132342515867224260" displayName="Tableau4132342515867224260" ref="C4:F13" totalsRowCount="1" headerRowDxfId="59" dataDxfId="310" totalsRowDxfId="309">
  <autoFilter ref="C4:F12" xr:uid="{00000000-0009-0000-0100-00002E000000}"/>
  <tableColumns count="4">
    <tableColumn id="1" xr3:uid="{00000000-0010-0000-2D00-000001000000}" name="Details" totalsRowLabel="Total" dataDxfId="308" totalsRowDxfId="58"/>
    <tableColumn id="2" xr3:uid="{00000000-0010-0000-2D00-000002000000}" name="Date" dataDxfId="307" totalsRowDxfId="57"/>
    <tableColumn id="3" xr3:uid="{00000000-0010-0000-2D00-000003000000}" name="Revenues" totalsRowFunction="custom" dataDxfId="306" totalsRowDxfId="56">
      <totalsRowFormula>SUBTOTAL(9,Tableau4132342515867224260[Revenues])</totalsRowFormula>
    </tableColumn>
    <tableColumn id="4" xr3:uid="{00000000-0010-0000-2D00-000004000000}" name="Expenses" totalsRowFunction="custom" dataDxfId="305" totalsRowDxfId="55">
      <totalsRowFormula>SUBTOTAL(9,Tableau4132342515867224260[Expenses])</totalsRowFormula>
    </tableColumn>
  </tableColumns>
  <tableStyleInfo name="TableStyleMedium3 3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au446162645546170284361" displayName="Tableau446162645546170284361" ref="C16:F25" totalsRowCount="1" headerRowDxfId="54" dataDxfId="304" totalsRowDxfId="303">
  <autoFilter ref="C16:F24" xr:uid="{00000000-0009-0000-0100-00002F000000}"/>
  <tableColumns count="4">
    <tableColumn id="1" xr3:uid="{00000000-0010-0000-2E00-000001000000}" name="Details" totalsRowLabel="Total" dataDxfId="302" totalsRowDxfId="53"/>
    <tableColumn id="2" xr3:uid="{00000000-0010-0000-2E00-000002000000}" name="Date" dataDxfId="301" totalsRowDxfId="52"/>
    <tableColumn id="3" xr3:uid="{00000000-0010-0000-2E00-000003000000}" name="Revenues" totalsRowFunction="custom" dataDxfId="300" totalsRowDxfId="51">
      <totalsRowFormula>SUBTOTAL(9,Tableau446162645546170284361[Revenues])</totalsRowFormula>
    </tableColumn>
    <tableColumn id="4" xr3:uid="{00000000-0010-0000-2E00-000004000000}" name="Expenses" totalsRowFunction="custom" dataDxfId="299" totalsRowDxfId="50">
      <totalsRowFormula>SUBTOTAL(9,Tableau446162645546170284361[Expenses])</totalsRowFormula>
    </tableColumn>
  </tableColumns>
  <tableStyleInfo name="TableStyleMedium3 3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au44616264554617020244462" displayName="Tableau44616264554617020244462" ref="I16:L25" totalsRowCount="1" headerRowDxfId="44" dataDxfId="298" totalsRowDxfId="297">
  <autoFilter ref="I16:L24" xr:uid="{00000000-0009-0000-0100-000030000000}"/>
  <tableColumns count="4">
    <tableColumn id="1" xr3:uid="{00000000-0010-0000-2F00-000001000000}" name="Details" totalsRowLabel="Total" dataDxfId="296" totalsRowDxfId="43"/>
    <tableColumn id="2" xr3:uid="{00000000-0010-0000-2F00-000002000000}" name="Date" dataDxfId="295" totalsRowDxfId="42"/>
    <tableColumn id="3" xr3:uid="{00000000-0010-0000-2F00-000003000000}" name="Revenues" totalsRowFunction="custom" dataDxfId="294" totalsRowDxfId="41">
      <totalsRowFormula>SUBTOTAL(9,Tableau44616264554617020244462[Revenues])</totalsRowFormula>
    </tableColumn>
    <tableColumn id="4" xr3:uid="{00000000-0010-0000-2F00-000004000000}" name="Expenses" totalsRowFunction="custom" dataDxfId="293" totalsRowDxfId="40">
      <totalsRowFormula>SUBTOTAL(9,Tableau44616264554617020244462[Expenses])</totalsRowFormula>
    </tableColumn>
  </tableColumns>
  <tableStyleInfo name="TableStyleMedium3 3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au44616264554617014325065" displayName="Tableau44616264554617014325065" ref="I4:L13" totalsRowCount="1" headerRowDxfId="49" dataDxfId="292" totalsRowDxfId="291">
  <autoFilter ref="I4:L12" xr:uid="{00000000-0009-0000-0100-000031000000}"/>
  <tableColumns count="4">
    <tableColumn id="1" xr3:uid="{00000000-0010-0000-3000-000001000000}" name="Details" totalsRowLabel="Total" dataDxfId="290" totalsRowDxfId="48"/>
    <tableColumn id="2" xr3:uid="{00000000-0010-0000-3000-000002000000}" name="Date" dataDxfId="289" totalsRowDxfId="47"/>
    <tableColumn id="3" xr3:uid="{00000000-0010-0000-3000-000003000000}" name="Revenues" totalsRowFunction="custom" dataDxfId="288" totalsRowDxfId="46">
      <totalsRowFormula>SUBTOTAL(9,Tableau44616264554617014325065[Revenues])</totalsRowFormula>
    </tableColumn>
    <tableColumn id="4" xr3:uid="{00000000-0010-0000-3000-000004000000}" name="Expenses" totalsRowFunction="custom" dataDxfId="287" totalsRowDxfId="45">
      <totalsRowFormula>SUBTOTAL(9,Tableau44616264554617014325065[Expenses])</totalsRowFormula>
    </tableColumn>
  </tableColumns>
  <tableStyleInfo name="TableStyleMedium3 3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au4132342515867224266" displayName="Tableau4132342515867224266" ref="C4:F13" totalsRowCount="1" headerRowDxfId="39" dataDxfId="286" totalsRowDxfId="285">
  <autoFilter ref="C4:F12" xr:uid="{00000000-0009-0000-0100-000032000000}"/>
  <tableColumns count="4">
    <tableColumn id="1" xr3:uid="{00000000-0010-0000-3100-000001000000}" name="Details" totalsRowLabel="Total" dataDxfId="284" totalsRowDxfId="38"/>
    <tableColumn id="2" xr3:uid="{00000000-0010-0000-3100-000002000000}" name="Date" dataDxfId="283" totalsRowDxfId="37"/>
    <tableColumn id="3" xr3:uid="{00000000-0010-0000-3100-000003000000}" name="Revenues" totalsRowFunction="custom" dataDxfId="282" totalsRowDxfId="36">
      <totalsRowFormula>SUBTOTAL(9,Tableau4132342515867224266[Revenues])</totalsRowFormula>
    </tableColumn>
    <tableColumn id="4" xr3:uid="{00000000-0010-0000-3100-000004000000}" name="Expenses" totalsRowFunction="custom" dataDxfId="281" totalsRowDxfId="35">
      <totalsRowFormula>SUBTOTAL(9,Tableau4132342515867224266[Expenses])</totalsRowFormula>
    </tableColumn>
  </tableColumns>
  <tableStyleInfo name="TableStyleMedium3 3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au44616264554617014325071" displayName="Tableau44616264554617014325071" ref="I4:L13" totalsRowCount="1" headerRowDxfId="34" dataDxfId="280" totalsRowDxfId="279">
  <autoFilter ref="I4:L12" xr:uid="{00000000-0009-0000-0100-000036000000}"/>
  <tableColumns count="4">
    <tableColumn id="1" xr3:uid="{00000000-0010-0000-3500-000001000000}" name="Details" totalsRowLabel="Total" dataDxfId="278" totalsRowDxfId="33"/>
    <tableColumn id="2" xr3:uid="{00000000-0010-0000-3500-000002000000}" name="Date" dataDxfId="277" totalsRowDxfId="32"/>
    <tableColumn id="3" xr3:uid="{00000000-0010-0000-3500-000003000000}" name="Revenues" totalsRowFunction="custom" dataDxfId="276" totalsRowDxfId="31">
      <totalsRowFormula>SUBTOTAL(9,Tableau44616264554617014325071[Revenues])</totalsRowFormula>
    </tableColumn>
    <tableColumn id="4" xr3:uid="{00000000-0010-0000-3500-000004000000}" name="Expenses" totalsRowFunction="custom" dataDxfId="275" totalsRowDxfId="30">
      <totalsRowFormula>SUBTOTAL(9,Tableau44616264554617014325071[Expenses])</totalsRowFormula>
    </tableColumn>
  </tableColumns>
  <tableStyleInfo name="TableStyleMedium3 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au41323425158672242607276" displayName="Tableau41323425158672242607276" ref="C4:F13" totalsRowCount="1" headerRowDxfId="29" dataDxfId="274" totalsRowDxfId="273">
  <autoFilter ref="C4:F12" xr:uid="{00000000-0009-0000-0100-000039000000}"/>
  <tableColumns count="4">
    <tableColumn id="1" xr3:uid="{00000000-0010-0000-3800-000001000000}" name="Details" totalsRowLabel="Total" dataDxfId="272" totalsRowDxfId="28"/>
    <tableColumn id="2" xr3:uid="{00000000-0010-0000-3800-000002000000}" name="Date" dataDxfId="271" totalsRowDxfId="27"/>
    <tableColumn id="3" xr3:uid="{00000000-0010-0000-3800-000003000000}" name="Revenues" totalsRowFunction="custom" dataDxfId="270" totalsRowDxfId="26">
      <totalsRowFormula>SUBTOTAL(9,Tableau41323425158672242607276[Revenues])</totalsRowFormula>
    </tableColumn>
    <tableColumn id="4" xr3:uid="{00000000-0010-0000-3800-000004000000}" name="Expenses" totalsRowFunction="custom" dataDxfId="269" totalsRowDxfId="25">
      <totalsRowFormula>SUBTOTAL(9,Tableau41323425158672242607276[Expenses])</totalsRowFormula>
    </tableColumn>
  </tableColumns>
  <tableStyleInfo name="TableStyleMedium3 3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au446162645546170143250657577" displayName="Tableau446162645546170143250657577" ref="I4:L13" totalsRowCount="1" headerRowDxfId="24" dataDxfId="268" totalsRowDxfId="267">
  <autoFilter ref="I4:L12" xr:uid="{00000000-0009-0000-0100-00003A000000}"/>
  <tableColumns count="4">
    <tableColumn id="1" xr3:uid="{00000000-0010-0000-3900-000001000000}" name="Details" totalsRowLabel="Total" dataDxfId="266" totalsRowDxfId="23"/>
    <tableColumn id="2" xr3:uid="{00000000-0010-0000-3900-000002000000}" name="Date" dataDxfId="265" totalsRowDxfId="22"/>
    <tableColumn id="3" xr3:uid="{00000000-0010-0000-3900-000003000000}" name="Revenues" totalsRowFunction="custom" dataDxfId="264" totalsRowDxfId="21">
      <totalsRowFormula>SUBTOTAL(9,Tableau446162645546170143250657577[Revenues])</totalsRowFormula>
    </tableColumn>
    <tableColumn id="4" xr3:uid="{00000000-0010-0000-3900-000004000000}" name="Expenses" totalsRowFunction="custom" dataDxfId="263" totalsRowDxfId="20">
      <totalsRowFormula>SUBTOTAL(9,Tableau446162645546170143250657577[Expenses])</totalsRowFormula>
    </tableColumn>
  </tableColumns>
  <tableStyleInfo name="TableStyleMedium3 3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au413234251586722426078" displayName="Tableau413234251586722426078" ref="C4:F13" totalsRowCount="1" headerRowDxfId="19" dataDxfId="262" totalsRowDxfId="261">
  <autoFilter ref="C4:F12" xr:uid="{00000000-0009-0000-0100-00003B000000}"/>
  <tableColumns count="4">
    <tableColumn id="1" xr3:uid="{00000000-0010-0000-3A00-000001000000}" name="Details" totalsRowLabel="Total" dataDxfId="260" totalsRowDxfId="18"/>
    <tableColumn id="2" xr3:uid="{00000000-0010-0000-3A00-000002000000}" name="Date" dataDxfId="259" totalsRowDxfId="17"/>
    <tableColumn id="3" xr3:uid="{00000000-0010-0000-3A00-000003000000}" name="Revenues" totalsRowFunction="custom" dataDxfId="258" totalsRowDxfId="16">
      <totalsRowFormula>SUBTOTAL(9,Tableau413234251586722426078[Revenues])</totalsRowFormula>
    </tableColumn>
    <tableColumn id="4" xr3:uid="{00000000-0010-0000-3A00-000004000000}" name="Expenses" totalsRowFunction="custom" dataDxfId="257" totalsRowDxfId="15">
      <totalsRowFormula>SUBTOTAL(9,Tableau413234251586722426078[Expenses])</totalsRowFormula>
    </tableColumn>
  </tableColumns>
  <tableStyleInfo name="TableStyleMedium3 3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au44616264554617028436179" displayName="Tableau44616264554617028436179" ref="C16:F25" totalsRowCount="1" headerRowDxfId="4" dataDxfId="256" totalsRowDxfId="255">
  <autoFilter ref="C16:F24" xr:uid="{00000000-0009-0000-0100-00003C000000}"/>
  <tableColumns count="4">
    <tableColumn id="1" xr3:uid="{00000000-0010-0000-3B00-000001000000}" name="Details" totalsRowLabel="Total" dataDxfId="254" totalsRowDxfId="3"/>
    <tableColumn id="2" xr3:uid="{00000000-0010-0000-3B00-000002000000}" name="Date" dataDxfId="253" totalsRowDxfId="2"/>
    <tableColumn id="3" xr3:uid="{00000000-0010-0000-3B00-000003000000}" name="Revenues" totalsRowFunction="custom" dataDxfId="252" totalsRowDxfId="1">
      <totalsRowFormula>SUBTOTAL(9,Tableau44616264554617028436179[Revenues])</totalsRowFormula>
    </tableColumn>
    <tableColumn id="4" xr3:uid="{00000000-0010-0000-3B00-000004000000}" name="Expenses" totalsRowFunction="custom" dataDxfId="251" totalsRowDxfId="0">
      <totalsRowFormula>SUBTOTAL(9,Tableau44616264554617028436179[Expenses])</totalsRowFormula>
    </tableColumn>
  </tableColumns>
  <tableStyleInfo name="TableStyleMedium3 3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au4461626455461702024446280" displayName="Tableau4461626455461702024446280" ref="I16:L25" totalsRowCount="1" headerRowDxfId="9" dataDxfId="250" totalsRowDxfId="249">
  <autoFilter ref="I16:L24" xr:uid="{00000000-0009-0000-0100-00003D000000}"/>
  <tableColumns count="4">
    <tableColumn id="1" xr3:uid="{00000000-0010-0000-3C00-000001000000}" name="Details" totalsRowLabel="Total" dataDxfId="248" totalsRowDxfId="8"/>
    <tableColumn id="2" xr3:uid="{00000000-0010-0000-3C00-000002000000}" name="Date" dataDxfId="247" totalsRowDxfId="7"/>
    <tableColumn id="3" xr3:uid="{00000000-0010-0000-3C00-000003000000}" name="Revenues" totalsRowFunction="custom" dataDxfId="246" totalsRowDxfId="6">
      <totalsRowFormula>SUBTOTAL(9,Tableau4461626455461702024446280[Revenues])</totalsRowFormula>
    </tableColumn>
    <tableColumn id="4" xr3:uid="{00000000-0010-0000-3C00-000004000000}" name="Expenses" totalsRowFunction="custom" dataDxfId="245" totalsRowDxfId="5">
      <totalsRowFormula>SUBTOTAL(9,Tableau4461626455461702024446280[Expenses])</totalsRowFormula>
    </tableColumn>
  </tableColumns>
  <tableStyleInfo name="TableStyleMedium3 3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au4461626455461701432506581" displayName="Tableau4461626455461701432506581" ref="I4:L13" totalsRowCount="1" headerRowDxfId="14" dataDxfId="244" totalsRowDxfId="243">
  <autoFilter ref="I4:L12" xr:uid="{00000000-0009-0000-0100-00003E000000}"/>
  <tableColumns count="4">
    <tableColumn id="1" xr3:uid="{00000000-0010-0000-3D00-000001000000}" name="Details" totalsRowLabel="Total" dataDxfId="242" totalsRowDxfId="13"/>
    <tableColumn id="2" xr3:uid="{00000000-0010-0000-3D00-000002000000}" name="Date" dataDxfId="241" totalsRowDxfId="12"/>
    <tableColumn id="3" xr3:uid="{00000000-0010-0000-3D00-000003000000}" name="Revenues" totalsRowFunction="custom" dataDxfId="240" totalsRowDxfId="11">
      <totalsRowFormula>SUBTOTAL(9,Tableau4461626455461701432506581[Revenues])</totalsRowFormula>
    </tableColumn>
    <tableColumn id="4" xr3:uid="{00000000-0010-0000-3D00-000004000000}" name="Expenses" totalsRowFunction="custom" dataDxfId="239" totalsRowDxfId="10">
      <totalsRowFormula>SUBTOTAL(9,Tableau4461626455461701432506581[Expenses])</totalsRowFormula>
    </tableColumn>
  </tableColumns>
  <tableStyleInfo name="TableStyleMedium3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9.xml"/><Relationship Id="rId3" Type="http://schemas.openxmlformats.org/officeDocument/2006/relationships/table" Target="../tables/table24.xml"/><Relationship Id="rId7" Type="http://schemas.openxmlformats.org/officeDocument/2006/relationships/table" Target="../tables/table28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Relationship Id="rId6" Type="http://schemas.openxmlformats.org/officeDocument/2006/relationships/table" Target="../tables/table27.xml"/><Relationship Id="rId5" Type="http://schemas.openxmlformats.org/officeDocument/2006/relationships/table" Target="../tables/table26.xml"/><Relationship Id="rId4" Type="http://schemas.openxmlformats.org/officeDocument/2006/relationships/table" Target="../tables/table25.xml"/><Relationship Id="rId9" Type="http://schemas.openxmlformats.org/officeDocument/2006/relationships/table" Target="../tables/table3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Relationship Id="rId4" Type="http://schemas.openxmlformats.org/officeDocument/2006/relationships/table" Target="../tables/table4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table" Target="../tables/table46.xml"/><Relationship Id="rId1" Type="http://schemas.openxmlformats.org/officeDocument/2006/relationships/table" Target="../tables/table45.xml"/><Relationship Id="rId4" Type="http://schemas.openxmlformats.org/officeDocument/2006/relationships/table" Target="../tables/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zoomScale="66" workbookViewId="0">
      <selection activeCell="F4" sqref="C4:F4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40.59765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40.59765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12</v>
      </c>
      <c r="D2" s="31"/>
      <c r="E2" s="31"/>
      <c r="F2" s="31"/>
      <c r="G2" s="1"/>
      <c r="H2" s="2"/>
      <c r="I2" s="19" t="s">
        <v>0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13</v>
      </c>
      <c r="C4" s="3" t="s">
        <v>21</v>
      </c>
      <c r="D4" s="3" t="s">
        <v>1</v>
      </c>
      <c r="E4" s="3" t="s">
        <v>22</v>
      </c>
      <c r="F4" s="3" t="s">
        <v>23</v>
      </c>
      <c r="G4" s="1"/>
      <c r="H4" s="32" t="s">
        <v>14</v>
      </c>
      <c r="I4" s="3" t="s">
        <v>21</v>
      </c>
      <c r="J4" s="3" t="s">
        <v>1</v>
      </c>
      <c r="K4" s="3" t="s">
        <v>22</v>
      </c>
      <c r="L4" s="3" t="s">
        <v>23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2</v>
      </c>
      <c r="D13" s="8"/>
      <c r="E13" s="6">
        <f>SUBTOTAL(9,Tableau4132342515867[Revenues])</f>
        <v>0</v>
      </c>
      <c r="F13" s="6">
        <f>SUBTOTAL(9,Tableau4132342515867[Expenses])</f>
        <v>0</v>
      </c>
      <c r="G13" s="1"/>
      <c r="H13" s="31"/>
      <c r="I13" s="4" t="s">
        <v>2</v>
      </c>
      <c r="J13" s="8"/>
      <c r="K13" s="6">
        <f>SUBTOTAL(9,Tableau44616264554617014[Revenues])</f>
        <v>0</v>
      </c>
      <c r="L13" s="6">
        <f>SUBTOTAL(9,Tableau44616264554617014[Expenses])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2" t="s">
        <v>3</v>
      </c>
      <c r="C16" s="3" t="s">
        <v>21</v>
      </c>
      <c r="D16" s="3" t="s">
        <v>1</v>
      </c>
      <c r="E16" s="3" t="s">
        <v>22</v>
      </c>
      <c r="F16" s="3" t="s">
        <v>23</v>
      </c>
      <c r="G16" s="1"/>
      <c r="H16" s="32" t="s">
        <v>15</v>
      </c>
      <c r="I16" s="3" t="s">
        <v>21</v>
      </c>
      <c r="J16" s="3" t="s">
        <v>1</v>
      </c>
      <c r="K16" s="3" t="s">
        <v>22</v>
      </c>
      <c r="L16" s="3" t="s">
        <v>23</v>
      </c>
    </row>
    <row r="17" spans="1:12" x14ac:dyDescent="0.45">
      <c r="A17" s="1"/>
      <c r="B17" s="31"/>
      <c r="C17" s="4"/>
      <c r="D17" s="5"/>
      <c r="E17" s="7"/>
      <c r="F17" s="7"/>
      <c r="G17" s="1"/>
      <c r="H17" s="31"/>
      <c r="I17" s="4"/>
      <c r="J17" s="5"/>
      <c r="K17" s="7"/>
      <c r="L17" s="7"/>
    </row>
    <row r="18" spans="1:12" x14ac:dyDescent="0.45">
      <c r="A18" s="1"/>
      <c r="B18" s="31"/>
      <c r="C18" s="4"/>
      <c r="D18" s="5"/>
      <c r="E18" s="6"/>
      <c r="F18" s="6"/>
      <c r="G18" s="1"/>
      <c r="H18" s="31"/>
      <c r="I18" s="4"/>
      <c r="J18" s="5"/>
      <c r="K18" s="6"/>
      <c r="L18" s="6"/>
    </row>
    <row r="19" spans="1:12" x14ac:dyDescent="0.45">
      <c r="A19" s="1"/>
      <c r="B19" s="31"/>
      <c r="C19" s="4"/>
      <c r="D19" s="5"/>
      <c r="E19" s="6"/>
      <c r="F19" s="6"/>
      <c r="G19" s="1"/>
      <c r="H19" s="31"/>
      <c r="I19" s="4"/>
      <c r="J19" s="5"/>
      <c r="K19" s="6"/>
      <c r="L19" s="6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4"/>
      <c r="J20" s="5"/>
      <c r="K20" s="6"/>
      <c r="L20" s="6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4"/>
      <c r="J21" s="5"/>
      <c r="K21" s="6"/>
      <c r="L21" s="6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4"/>
      <c r="J22" s="5"/>
      <c r="K22" s="6"/>
      <c r="L22" s="6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4"/>
      <c r="J23" s="5"/>
      <c r="K23" s="6"/>
      <c r="L23" s="6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4"/>
      <c r="J24" s="5"/>
      <c r="K24" s="6"/>
      <c r="L24" s="6"/>
    </row>
    <row r="25" spans="1:12" x14ac:dyDescent="0.45">
      <c r="A25" s="1"/>
      <c r="B25" s="31"/>
      <c r="C25" s="4" t="s">
        <v>2</v>
      </c>
      <c r="D25" s="8"/>
      <c r="E25" s="6">
        <f>SUBTOTAL(9,Tableau446162645546170[Revenues])</f>
        <v>0</v>
      </c>
      <c r="F25" s="6">
        <f>SUBTOTAL(9,Tableau446162645546170[Expenses])</f>
        <v>0</v>
      </c>
      <c r="G25" s="1"/>
      <c r="H25" s="31"/>
      <c r="I25" s="4" t="s">
        <v>2</v>
      </c>
      <c r="J25" s="8"/>
      <c r="K25" s="6">
        <f>SUBTOTAL(9,Tableau44616264554617020[Revenues])</f>
        <v>0</v>
      </c>
      <c r="L25" s="6">
        <f>SUBTOTAL(9,Tableau44616264554617020[Expenses])</f>
        <v>0</v>
      </c>
    </row>
    <row r="28" spans="1:12" ht="18" customHeight="1" x14ac:dyDescent="0.45">
      <c r="B28" s="32" t="s">
        <v>16</v>
      </c>
      <c r="C28" s="3" t="s">
        <v>21</v>
      </c>
      <c r="D28" s="3" t="s">
        <v>1</v>
      </c>
      <c r="E28" s="3" t="s">
        <v>22</v>
      </c>
      <c r="F28" s="3" t="s">
        <v>23</v>
      </c>
      <c r="H28" s="32" t="s">
        <v>4</v>
      </c>
      <c r="I28" s="3" t="s">
        <v>21</v>
      </c>
      <c r="J28" s="3" t="s">
        <v>1</v>
      </c>
      <c r="K28" s="3" t="s">
        <v>22</v>
      </c>
      <c r="L28" s="3" t="s">
        <v>23</v>
      </c>
    </row>
    <row r="29" spans="1:12" x14ac:dyDescent="0.45">
      <c r="B29" s="31"/>
      <c r="C29" s="4"/>
      <c r="D29" s="5"/>
      <c r="E29" s="7"/>
      <c r="F29" s="7"/>
      <c r="H29" s="31"/>
      <c r="I29" s="4"/>
      <c r="J29" s="5"/>
      <c r="K29" s="7"/>
      <c r="L29" s="7"/>
    </row>
    <row r="30" spans="1:12" x14ac:dyDescent="0.45">
      <c r="B30" s="31"/>
      <c r="C30" s="4"/>
      <c r="D30" s="5"/>
      <c r="E30" s="6"/>
      <c r="F30" s="6"/>
      <c r="H30" s="31"/>
      <c r="I30" s="4"/>
      <c r="J30" s="5"/>
      <c r="K30" s="6"/>
      <c r="L30" s="6"/>
    </row>
    <row r="31" spans="1:12" x14ac:dyDescent="0.45">
      <c r="B31" s="31"/>
      <c r="C31" s="4"/>
      <c r="D31" s="5"/>
      <c r="E31" s="6"/>
      <c r="F31" s="6"/>
      <c r="H31" s="31"/>
      <c r="I31" s="4"/>
      <c r="J31" s="5"/>
      <c r="K31" s="6"/>
      <c r="L31" s="6"/>
    </row>
    <row r="32" spans="1:12" x14ac:dyDescent="0.45">
      <c r="B32" s="31"/>
      <c r="C32" s="4"/>
      <c r="D32" s="5"/>
      <c r="E32" s="6"/>
      <c r="F32" s="6"/>
      <c r="H32" s="31"/>
      <c r="I32" s="4"/>
      <c r="J32" s="5"/>
      <c r="K32" s="6"/>
      <c r="L32" s="6"/>
    </row>
    <row r="33" spans="2:12" x14ac:dyDescent="0.45">
      <c r="B33" s="31"/>
      <c r="C33" s="4"/>
      <c r="D33" s="5"/>
      <c r="E33" s="6"/>
      <c r="F33" s="6"/>
      <c r="H33" s="31"/>
      <c r="I33" s="4"/>
      <c r="J33" s="5"/>
      <c r="K33" s="6"/>
      <c r="L33" s="6"/>
    </row>
    <row r="34" spans="2:12" x14ac:dyDescent="0.45">
      <c r="B34" s="31"/>
      <c r="C34" s="4"/>
      <c r="D34" s="5"/>
      <c r="E34" s="6"/>
      <c r="F34" s="6"/>
      <c r="H34" s="31"/>
      <c r="I34" s="4"/>
      <c r="J34" s="5"/>
      <c r="K34" s="6"/>
      <c r="L34" s="6"/>
    </row>
    <row r="35" spans="2:12" x14ac:dyDescent="0.45">
      <c r="B35" s="31"/>
      <c r="C35" s="4"/>
      <c r="D35" s="5"/>
      <c r="E35" s="6"/>
      <c r="F35" s="6"/>
      <c r="H35" s="31"/>
      <c r="I35" s="4"/>
      <c r="J35" s="5"/>
      <c r="K35" s="6"/>
      <c r="L35" s="6"/>
    </row>
    <row r="36" spans="2:12" x14ac:dyDescent="0.45">
      <c r="B36" s="31"/>
      <c r="C36" s="4"/>
      <c r="D36" s="5"/>
      <c r="E36" s="6"/>
      <c r="F36" s="6"/>
      <c r="H36" s="31"/>
      <c r="I36" s="4"/>
      <c r="J36" s="5"/>
      <c r="K36" s="6"/>
      <c r="L36" s="6"/>
    </row>
    <row r="37" spans="2:12" x14ac:dyDescent="0.45">
      <c r="B37" s="31"/>
      <c r="C37" s="4" t="s">
        <v>2</v>
      </c>
      <c r="D37" s="8"/>
      <c r="E37" s="6">
        <f>SUBTOTAL(9,Tableau44616264554617021[Revenues])</f>
        <v>0</v>
      </c>
      <c r="F37" s="6">
        <f>SUBTOTAL(9,Tableau44616264554617021[Expenses])</f>
        <v>0</v>
      </c>
      <c r="H37" s="31"/>
      <c r="I37" s="4" t="s">
        <v>2</v>
      </c>
      <c r="J37" s="8"/>
      <c r="K37" s="6">
        <f>SUBTOTAL(9,Tableau44616264554617022[Revenues])</f>
        <v>0</v>
      </c>
      <c r="L37" s="6">
        <f>SUBTOTAL(9,Tableau44616264554617022[Expenses])</f>
        <v>0</v>
      </c>
    </row>
    <row r="39" spans="2:12" x14ac:dyDescent="0.45">
      <c r="E39" s="16"/>
    </row>
    <row r="40" spans="2:12" ht="18" customHeight="1" x14ac:dyDescent="0.45">
      <c r="B40" s="32" t="s">
        <v>17</v>
      </c>
      <c r="C40" s="3" t="s">
        <v>21</v>
      </c>
      <c r="D40" s="3" t="s">
        <v>1</v>
      </c>
      <c r="E40" s="3" t="s">
        <v>22</v>
      </c>
      <c r="F40" s="3" t="s">
        <v>23</v>
      </c>
      <c r="H40" s="32" t="s">
        <v>18</v>
      </c>
      <c r="I40" s="3" t="s">
        <v>21</v>
      </c>
      <c r="J40" s="3" t="s">
        <v>1</v>
      </c>
      <c r="K40" s="3" t="s">
        <v>22</v>
      </c>
      <c r="L40" s="3" t="s">
        <v>23</v>
      </c>
    </row>
    <row r="41" spans="2:12" x14ac:dyDescent="0.45">
      <c r="B41" s="31"/>
      <c r="C41" s="4"/>
      <c r="D41" s="5"/>
      <c r="E41" s="7"/>
      <c r="F41" s="7"/>
      <c r="H41" s="31"/>
      <c r="I41" s="4"/>
      <c r="J41" s="5"/>
      <c r="K41" s="7"/>
      <c r="L41" s="7"/>
    </row>
    <row r="42" spans="2:12" x14ac:dyDescent="0.45">
      <c r="B42" s="31"/>
      <c r="C42" s="4"/>
      <c r="D42" s="5"/>
      <c r="E42" s="6"/>
      <c r="F42" s="6"/>
      <c r="H42" s="31"/>
      <c r="I42" s="4"/>
      <c r="J42" s="5"/>
      <c r="K42" s="6"/>
      <c r="L42" s="6"/>
    </row>
    <row r="43" spans="2:12" x14ac:dyDescent="0.45">
      <c r="B43" s="31"/>
      <c r="C43" s="4"/>
      <c r="D43" s="5"/>
      <c r="E43" s="6"/>
      <c r="F43" s="6"/>
      <c r="H43" s="31"/>
      <c r="I43" s="4"/>
      <c r="J43" s="5"/>
      <c r="K43" s="6"/>
      <c r="L43" s="6"/>
    </row>
    <row r="44" spans="2:12" x14ac:dyDescent="0.45">
      <c r="B44" s="31"/>
      <c r="C44" s="4"/>
      <c r="D44" s="5"/>
      <c r="E44" s="6"/>
      <c r="F44" s="6"/>
      <c r="H44" s="31"/>
      <c r="I44" s="4"/>
      <c r="J44" s="5"/>
      <c r="K44" s="6"/>
      <c r="L44" s="6"/>
    </row>
    <row r="45" spans="2:12" x14ac:dyDescent="0.45">
      <c r="B45" s="31"/>
      <c r="C45" s="4"/>
      <c r="D45" s="5"/>
      <c r="E45" s="6"/>
      <c r="F45" s="6"/>
      <c r="H45" s="31"/>
      <c r="I45" s="4"/>
      <c r="J45" s="5"/>
      <c r="K45" s="6"/>
      <c r="L45" s="6"/>
    </row>
    <row r="46" spans="2:12" x14ac:dyDescent="0.45">
      <c r="B46" s="31"/>
      <c r="C46" s="4"/>
      <c r="D46" s="5"/>
      <c r="E46" s="6"/>
      <c r="F46" s="6"/>
      <c r="H46" s="31"/>
      <c r="I46" s="4"/>
      <c r="J46" s="5"/>
      <c r="K46" s="6"/>
      <c r="L46" s="6"/>
    </row>
    <row r="47" spans="2:12" x14ac:dyDescent="0.45">
      <c r="B47" s="31"/>
      <c r="C47" s="4"/>
      <c r="D47" s="5"/>
      <c r="E47" s="6"/>
      <c r="F47" s="6"/>
      <c r="H47" s="31"/>
      <c r="I47" s="4"/>
      <c r="J47" s="5"/>
      <c r="K47" s="6"/>
      <c r="L47" s="6"/>
    </row>
    <row r="48" spans="2:12" x14ac:dyDescent="0.45">
      <c r="B48" s="31"/>
      <c r="C48" s="4"/>
      <c r="D48" s="5"/>
      <c r="E48" s="6"/>
      <c r="F48" s="6"/>
      <c r="H48" s="31"/>
      <c r="I48" s="4"/>
      <c r="J48" s="5"/>
      <c r="K48" s="6"/>
      <c r="L48" s="6"/>
    </row>
    <row r="49" spans="2:12" x14ac:dyDescent="0.45">
      <c r="B49" s="31"/>
      <c r="C49" s="4" t="s">
        <v>2</v>
      </c>
      <c r="D49" s="8"/>
      <c r="E49" s="6">
        <f>SUBTOTAL(9,Tableau44616264554617023[Revenues])</f>
        <v>0</v>
      </c>
      <c r="F49" s="6">
        <f>SUBTOTAL(9,Tableau44616264554617023[Expenses])</f>
        <v>0</v>
      </c>
      <c r="H49" s="31"/>
      <c r="I49" s="4" t="s">
        <v>2</v>
      </c>
      <c r="J49" s="8"/>
      <c r="K49" s="6">
        <f>SUBTOTAL(9,Tableau44616264554617024[Revenues])</f>
        <v>0</v>
      </c>
      <c r="L49" s="6">
        <f>SUBTOTAL(9,Tableau44616264554617024[Expenses])</f>
        <v>0</v>
      </c>
    </row>
    <row r="51" spans="2:12" x14ac:dyDescent="0.45">
      <c r="E51" s="16"/>
      <c r="K51" s="16"/>
    </row>
    <row r="52" spans="2:12" ht="18" customHeight="1" x14ac:dyDescent="0.45">
      <c r="B52" s="32" t="s">
        <v>20</v>
      </c>
      <c r="C52" s="3" t="s">
        <v>21</v>
      </c>
      <c r="D52" s="3" t="s">
        <v>1</v>
      </c>
      <c r="E52" s="3" t="s">
        <v>22</v>
      </c>
      <c r="F52" s="3" t="s">
        <v>23</v>
      </c>
      <c r="H52" s="33"/>
      <c r="I52" s="23"/>
      <c r="J52" s="23"/>
      <c r="K52" s="23"/>
      <c r="L52" s="23"/>
    </row>
    <row r="53" spans="2:12" x14ac:dyDescent="0.45">
      <c r="B53" s="31"/>
      <c r="C53" s="4"/>
      <c r="D53" s="5"/>
      <c r="E53" s="7"/>
      <c r="F53" s="7"/>
      <c r="H53" s="31"/>
      <c r="I53" s="20"/>
      <c r="J53" s="24"/>
      <c r="K53" s="25"/>
      <c r="L53" s="25"/>
    </row>
    <row r="54" spans="2:12" x14ac:dyDescent="0.45">
      <c r="B54" s="31"/>
      <c r="C54" s="4"/>
      <c r="D54" s="5"/>
      <c r="E54" s="6"/>
      <c r="F54" s="6"/>
      <c r="H54" s="31"/>
      <c r="I54" s="20"/>
      <c r="J54" s="24"/>
      <c r="K54" s="22"/>
      <c r="L54" s="22"/>
    </row>
    <row r="55" spans="2:12" x14ac:dyDescent="0.45">
      <c r="B55" s="31"/>
      <c r="C55" s="4"/>
      <c r="D55" s="5"/>
      <c r="E55" s="6"/>
      <c r="F55" s="6"/>
      <c r="H55" s="31"/>
      <c r="I55" s="20"/>
      <c r="J55" s="24"/>
      <c r="K55" s="22"/>
      <c r="L55" s="22"/>
    </row>
    <row r="56" spans="2:12" x14ac:dyDescent="0.45">
      <c r="B56" s="31"/>
      <c r="C56" s="4"/>
      <c r="D56" s="5"/>
      <c r="E56" s="6"/>
      <c r="F56" s="6"/>
      <c r="H56" s="31"/>
      <c r="I56" s="20"/>
      <c r="J56" s="24"/>
      <c r="K56" s="22"/>
      <c r="L56" s="22"/>
    </row>
    <row r="57" spans="2:12" x14ac:dyDescent="0.45">
      <c r="B57" s="31"/>
      <c r="C57" s="4"/>
      <c r="D57" s="5"/>
      <c r="E57" s="6"/>
      <c r="F57" s="6"/>
      <c r="H57" s="31"/>
      <c r="I57" s="20"/>
      <c r="J57" s="24"/>
      <c r="K57" s="22"/>
      <c r="L57" s="22"/>
    </row>
    <row r="58" spans="2:12" x14ac:dyDescent="0.45">
      <c r="B58" s="31"/>
      <c r="C58" s="4"/>
      <c r="D58" s="5"/>
      <c r="E58" s="6"/>
      <c r="F58" s="6"/>
      <c r="H58" s="31"/>
      <c r="I58" s="20"/>
      <c r="J58" s="24"/>
      <c r="K58" s="22"/>
      <c r="L58" s="22"/>
    </row>
    <row r="59" spans="2:12" x14ac:dyDescent="0.45">
      <c r="B59" s="31"/>
      <c r="C59" s="4"/>
      <c r="D59" s="5"/>
      <c r="E59" s="6"/>
      <c r="F59" s="6"/>
      <c r="H59" s="31"/>
      <c r="I59" s="20"/>
      <c r="J59" s="24"/>
      <c r="K59" s="22"/>
      <c r="L59" s="22"/>
    </row>
    <row r="60" spans="2:12" x14ac:dyDescent="0.45">
      <c r="B60" s="31"/>
      <c r="C60" s="4"/>
      <c r="D60" s="5"/>
      <c r="E60" s="6"/>
      <c r="F60" s="6"/>
      <c r="H60" s="31"/>
      <c r="I60" s="20"/>
      <c r="J60" s="24"/>
      <c r="K60" s="22"/>
      <c r="L60" s="22"/>
    </row>
    <row r="61" spans="2:12" x14ac:dyDescent="0.45">
      <c r="B61" s="31"/>
      <c r="C61" s="4" t="s">
        <v>2</v>
      </c>
      <c r="D61" s="8"/>
      <c r="E61" s="6">
        <f>SUBTOTAL(9,Tableau44616264554617025[Revenues])</f>
        <v>0</v>
      </c>
      <c r="F61" s="6">
        <f>SUBTOTAL(9,Tableau44616264554617025[Expenses])</f>
        <v>0</v>
      </c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8" x14ac:dyDescent="0.45">
      <c r="B65" s="31"/>
      <c r="C65" s="20"/>
      <c r="D65" s="24"/>
      <c r="E65" s="25"/>
      <c r="F65" s="25"/>
    </row>
    <row r="66" spans="2:8" x14ac:dyDescent="0.45">
      <c r="B66" s="31"/>
      <c r="C66" s="20"/>
      <c r="D66" s="24"/>
      <c r="E66" s="22"/>
      <c r="F66" s="22"/>
    </row>
    <row r="67" spans="2:8" x14ac:dyDescent="0.45">
      <c r="B67" s="31"/>
      <c r="C67" s="20"/>
      <c r="D67" s="24"/>
      <c r="E67" s="22"/>
      <c r="F67" s="22"/>
    </row>
    <row r="68" spans="2:8" x14ac:dyDescent="0.45">
      <c r="B68" s="31"/>
      <c r="C68" s="20"/>
      <c r="D68" s="24"/>
      <c r="E68" s="22"/>
      <c r="F68" s="22"/>
    </row>
    <row r="69" spans="2:8" x14ac:dyDescent="0.45">
      <c r="B69" s="31"/>
      <c r="C69" s="20"/>
      <c r="D69" s="24"/>
      <c r="E69" s="22"/>
      <c r="F69" s="22"/>
    </row>
    <row r="70" spans="2:8" x14ac:dyDescent="0.45">
      <c r="B70" s="31"/>
      <c r="C70" s="20"/>
      <c r="D70" s="24"/>
      <c r="E70" s="22"/>
      <c r="F70" s="22"/>
    </row>
    <row r="71" spans="2:8" ht="21" x14ac:dyDescent="0.65">
      <c r="B71" s="31"/>
      <c r="C71" s="20"/>
      <c r="D71" s="24"/>
      <c r="E71" s="22"/>
      <c r="F71" s="22"/>
      <c r="H71" s="34" t="s">
        <v>19</v>
      </c>
    </row>
    <row r="72" spans="2:8" x14ac:dyDescent="0.45">
      <c r="B72" s="31"/>
      <c r="C72" s="20"/>
      <c r="D72" s="24"/>
      <c r="E72" s="22"/>
      <c r="F72" s="22"/>
    </row>
    <row r="73" spans="2:8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B52:B61"/>
    <mergeCell ref="H16:H25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3"/>
  <sheetViews>
    <sheetView zoomScale="66" zoomScaleNormal="66" workbookViewId="0">
      <selection activeCell="C16" sqref="C16:F16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24</v>
      </c>
      <c r="D2" s="31"/>
      <c r="E2" s="31"/>
      <c r="F2" s="31"/>
      <c r="G2" s="1"/>
      <c r="H2" s="2"/>
      <c r="I2" s="19" t="s">
        <v>0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25</v>
      </c>
      <c r="C4" s="3" t="s">
        <v>21</v>
      </c>
      <c r="D4" s="3" t="s">
        <v>1</v>
      </c>
      <c r="E4" s="3" t="s">
        <v>22</v>
      </c>
      <c r="F4" s="3" t="s">
        <v>23</v>
      </c>
      <c r="G4" s="1"/>
      <c r="H4" s="32" t="s">
        <v>26</v>
      </c>
      <c r="I4" s="3" t="s">
        <v>21</v>
      </c>
      <c r="J4" s="3" t="s">
        <v>1</v>
      </c>
      <c r="K4" s="3" t="s">
        <v>22</v>
      </c>
      <c r="L4" s="3" t="s">
        <v>23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ht="25.5" customHeight="1" x14ac:dyDescent="0.45">
      <c r="A13" s="1"/>
      <c r="B13" s="31"/>
      <c r="C13" s="4" t="s">
        <v>2</v>
      </c>
      <c r="D13" s="8"/>
      <c r="E13" s="6">
        <f>SUBTOTAL(9,Tableau413234251586713[Revenues])</f>
        <v>0</v>
      </c>
      <c r="F13" s="6">
        <f>SUBTOTAL(9,Tableau413234251586713[Expenses])</f>
        <v>0</v>
      </c>
      <c r="G13" s="1"/>
      <c r="H13" s="31"/>
      <c r="I13" s="4" t="s">
        <v>2</v>
      </c>
      <c r="J13" s="8"/>
      <c r="K13" s="6">
        <f>SUBTOTAL(9,Tableau4461626455461701423[Revenues])</f>
        <v>0</v>
      </c>
      <c r="L13" s="6">
        <f>SUBTOTAL(9,Tableau4461626455461701423[Expenses])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2" t="s">
        <v>18</v>
      </c>
      <c r="C16" s="3" t="s">
        <v>21</v>
      </c>
      <c r="D16" s="3" t="s">
        <v>1</v>
      </c>
      <c r="E16" s="3" t="s">
        <v>22</v>
      </c>
      <c r="F16" s="3" t="s">
        <v>23</v>
      </c>
      <c r="G16" s="1"/>
      <c r="H16" s="32" t="s">
        <v>27</v>
      </c>
      <c r="I16" s="3" t="s">
        <v>21</v>
      </c>
      <c r="J16" s="3" t="s">
        <v>1</v>
      </c>
      <c r="K16" s="3" t="s">
        <v>22</v>
      </c>
      <c r="L16" s="3" t="s">
        <v>23</v>
      </c>
    </row>
    <row r="17" spans="1:12" x14ac:dyDescent="0.45">
      <c r="A17" s="1"/>
      <c r="B17" s="31"/>
      <c r="C17" s="4"/>
      <c r="D17" s="5"/>
      <c r="E17" s="7"/>
      <c r="F17" s="7"/>
      <c r="G17" s="1"/>
      <c r="H17" s="31"/>
      <c r="I17" s="4"/>
      <c r="J17" s="5"/>
      <c r="K17" s="7"/>
      <c r="L17" s="7"/>
    </row>
    <row r="18" spans="1:12" x14ac:dyDescent="0.45">
      <c r="A18" s="1"/>
      <c r="B18" s="31"/>
      <c r="C18" s="4"/>
      <c r="D18" s="5"/>
      <c r="E18" s="6"/>
      <c r="F18" s="6"/>
      <c r="G18" s="1"/>
      <c r="H18" s="31"/>
      <c r="I18" s="4"/>
      <c r="J18" s="5"/>
      <c r="K18" s="6"/>
      <c r="L18" s="6"/>
    </row>
    <row r="19" spans="1:12" x14ac:dyDescent="0.45">
      <c r="A19" s="1"/>
      <c r="B19" s="31"/>
      <c r="C19" s="4"/>
      <c r="D19" s="5"/>
      <c r="E19" s="6"/>
      <c r="F19" s="6"/>
      <c r="G19" s="1"/>
      <c r="H19" s="31"/>
      <c r="I19" s="4"/>
      <c r="J19" s="5"/>
      <c r="K19" s="6"/>
      <c r="L19" s="6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4"/>
      <c r="J20" s="5"/>
      <c r="K20" s="6"/>
      <c r="L20" s="6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4"/>
      <c r="J21" s="5"/>
      <c r="K21" s="6"/>
      <c r="L21" s="6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4"/>
      <c r="J22" s="5"/>
      <c r="K22" s="6"/>
      <c r="L22" s="6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4"/>
      <c r="J23" s="5"/>
      <c r="K23" s="6"/>
      <c r="L23" s="6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4"/>
      <c r="J24" s="5"/>
      <c r="K24" s="6"/>
      <c r="L24" s="6"/>
    </row>
    <row r="25" spans="1:12" x14ac:dyDescent="0.45">
      <c r="A25" s="1"/>
      <c r="B25" s="31"/>
      <c r="C25" s="4" t="s">
        <v>2</v>
      </c>
      <c r="D25" s="8"/>
      <c r="E25" s="6">
        <f>SUBTOTAL(9,Tableau44616264554617015[Revenues])</f>
        <v>0</v>
      </c>
      <c r="F25" s="6">
        <f>SUBTOTAL(9,Tableau44616264554617015[Expenses])</f>
        <v>0</v>
      </c>
      <c r="G25" s="1"/>
      <c r="H25" s="31"/>
      <c r="I25" s="4" t="s">
        <v>2</v>
      </c>
      <c r="J25" s="8"/>
      <c r="K25" s="6">
        <f>SUBTOTAL(9,Tableau4461626455461702015[Revenues])</f>
        <v>0</v>
      </c>
      <c r="L25" s="6">
        <f>SUBTOTAL(9,Tableau4461626455461702015[Expenses])</f>
        <v>0</v>
      </c>
    </row>
    <row r="28" spans="1:12" ht="18" customHeight="1" x14ac:dyDescent="0.45">
      <c r="B28" s="32" t="s">
        <v>5</v>
      </c>
      <c r="C28" s="3" t="s">
        <v>21</v>
      </c>
      <c r="D28" s="3" t="s">
        <v>1</v>
      </c>
      <c r="E28" s="3" t="s">
        <v>22</v>
      </c>
      <c r="F28" s="3" t="s">
        <v>23</v>
      </c>
      <c r="H28" s="32" t="s">
        <v>6</v>
      </c>
      <c r="I28" s="3" t="s">
        <v>21</v>
      </c>
      <c r="J28" s="3" t="s">
        <v>1</v>
      </c>
      <c r="K28" s="3" t="s">
        <v>22</v>
      </c>
      <c r="L28" s="3" t="s">
        <v>23</v>
      </c>
    </row>
    <row r="29" spans="1:12" x14ac:dyDescent="0.45">
      <c r="B29" s="31"/>
      <c r="C29" s="4"/>
      <c r="D29" s="5"/>
      <c r="E29" s="7"/>
      <c r="F29" s="7"/>
      <c r="H29" s="31"/>
      <c r="I29" s="4"/>
      <c r="J29" s="5"/>
      <c r="K29" s="7"/>
      <c r="L29" s="7"/>
    </row>
    <row r="30" spans="1:12" x14ac:dyDescent="0.45">
      <c r="B30" s="31"/>
      <c r="C30" s="4"/>
      <c r="D30" s="5"/>
      <c r="E30" s="6"/>
      <c r="F30" s="6"/>
      <c r="H30" s="31"/>
      <c r="I30" s="4"/>
      <c r="J30" s="5"/>
      <c r="K30" s="6"/>
      <c r="L30" s="6"/>
    </row>
    <row r="31" spans="1:12" x14ac:dyDescent="0.45">
      <c r="B31" s="31"/>
      <c r="C31" s="4"/>
      <c r="D31" s="5"/>
      <c r="E31" s="6"/>
      <c r="F31" s="6"/>
      <c r="H31" s="31"/>
      <c r="I31" s="4"/>
      <c r="J31" s="5"/>
      <c r="K31" s="6"/>
      <c r="L31" s="6"/>
    </row>
    <row r="32" spans="1:12" x14ac:dyDescent="0.45">
      <c r="B32" s="31"/>
      <c r="C32" s="4"/>
      <c r="D32" s="5"/>
      <c r="E32" s="6"/>
      <c r="F32" s="6"/>
      <c r="H32" s="31"/>
      <c r="I32" s="4"/>
      <c r="J32" s="5"/>
      <c r="K32" s="6"/>
      <c r="L32" s="6"/>
    </row>
    <row r="33" spans="2:12" x14ac:dyDescent="0.45">
      <c r="B33" s="31"/>
      <c r="C33" s="4"/>
      <c r="D33" s="5"/>
      <c r="E33" s="6"/>
      <c r="F33" s="6"/>
      <c r="H33" s="31"/>
      <c r="I33" s="4"/>
      <c r="J33" s="5"/>
      <c r="K33" s="6"/>
      <c r="L33" s="6"/>
    </row>
    <row r="34" spans="2:12" x14ac:dyDescent="0.45">
      <c r="B34" s="31"/>
      <c r="C34" s="4"/>
      <c r="D34" s="5"/>
      <c r="E34" s="6"/>
      <c r="F34" s="6"/>
      <c r="H34" s="31"/>
      <c r="I34" s="4"/>
      <c r="J34" s="5"/>
      <c r="K34" s="6"/>
      <c r="L34" s="6"/>
    </row>
    <row r="35" spans="2:12" x14ac:dyDescent="0.45">
      <c r="B35" s="31"/>
      <c r="C35" s="4"/>
      <c r="D35" s="5"/>
      <c r="E35" s="6"/>
      <c r="F35" s="6"/>
      <c r="H35" s="31"/>
      <c r="I35" s="4"/>
      <c r="J35" s="5"/>
      <c r="K35" s="6"/>
      <c r="L35" s="6"/>
    </row>
    <row r="36" spans="2:12" x14ac:dyDescent="0.45">
      <c r="B36" s="31"/>
      <c r="C36" s="4"/>
      <c r="D36" s="5"/>
      <c r="E36" s="6"/>
      <c r="F36" s="6"/>
      <c r="H36" s="31"/>
      <c r="I36" s="4"/>
      <c r="J36" s="5"/>
      <c r="K36" s="6"/>
      <c r="L36" s="6"/>
    </row>
    <row r="37" spans="2:12" x14ac:dyDescent="0.45">
      <c r="B37" s="31"/>
      <c r="C37" s="4" t="s">
        <v>2</v>
      </c>
      <c r="D37" s="8"/>
      <c r="E37" s="6">
        <f>SUBTOTAL(9,Tableau4461626455461702116[Revenues])</f>
        <v>0</v>
      </c>
      <c r="F37" s="6">
        <f>SUBTOTAL(9,Tableau4461626455461702116[Expenses])</f>
        <v>0</v>
      </c>
      <c r="H37" s="31"/>
      <c r="I37" s="4" t="s">
        <v>2</v>
      </c>
      <c r="J37" s="8"/>
      <c r="K37" s="6">
        <f>SUBTOTAL(9,Tableau4461626455461702217[Revenues])</f>
        <v>0</v>
      </c>
      <c r="L37" s="6">
        <f>SUBTOTAL(9,Tableau4461626455461702217[Expenses])</f>
        <v>0</v>
      </c>
    </row>
    <row r="39" spans="2:12" x14ac:dyDescent="0.45">
      <c r="E39" s="16"/>
    </row>
    <row r="40" spans="2:12" ht="18" customHeight="1" x14ac:dyDescent="0.45">
      <c r="B40" s="32" t="s">
        <v>7</v>
      </c>
      <c r="C40" s="3" t="s">
        <v>21</v>
      </c>
      <c r="D40" s="3" t="s">
        <v>1</v>
      </c>
      <c r="E40" s="3" t="s">
        <v>22</v>
      </c>
      <c r="F40" s="3" t="s">
        <v>23</v>
      </c>
      <c r="H40" s="32" t="s">
        <v>28</v>
      </c>
      <c r="I40" s="3" t="s">
        <v>21</v>
      </c>
      <c r="J40" s="3" t="s">
        <v>1</v>
      </c>
      <c r="K40" s="3" t="s">
        <v>22</v>
      </c>
      <c r="L40" s="3" t="s">
        <v>23</v>
      </c>
    </row>
    <row r="41" spans="2:12" x14ac:dyDescent="0.45">
      <c r="B41" s="31"/>
      <c r="C41" s="4"/>
      <c r="D41" s="5"/>
      <c r="E41" s="7"/>
      <c r="F41" s="7"/>
      <c r="H41" s="31"/>
      <c r="I41" s="4"/>
      <c r="J41" s="5"/>
      <c r="K41" s="7"/>
      <c r="L41" s="7"/>
    </row>
    <row r="42" spans="2:12" x14ac:dyDescent="0.45">
      <c r="B42" s="31"/>
      <c r="C42" s="4"/>
      <c r="D42" s="5"/>
      <c r="E42" s="6"/>
      <c r="F42" s="6"/>
      <c r="H42" s="31"/>
      <c r="I42" s="4"/>
      <c r="J42" s="5"/>
      <c r="K42" s="6"/>
      <c r="L42" s="6"/>
    </row>
    <row r="43" spans="2:12" x14ac:dyDescent="0.45">
      <c r="B43" s="31"/>
      <c r="C43" s="4"/>
      <c r="D43" s="5"/>
      <c r="E43" s="6"/>
      <c r="F43" s="6"/>
      <c r="H43" s="31"/>
      <c r="I43" s="4"/>
      <c r="J43" s="5"/>
      <c r="K43" s="6"/>
      <c r="L43" s="6"/>
    </row>
    <row r="44" spans="2:12" x14ac:dyDescent="0.45">
      <c r="B44" s="31"/>
      <c r="C44" s="4"/>
      <c r="D44" s="5"/>
      <c r="E44" s="6"/>
      <c r="F44" s="6"/>
      <c r="H44" s="31"/>
      <c r="I44" s="4"/>
      <c r="J44" s="5"/>
      <c r="K44" s="6"/>
      <c r="L44" s="6"/>
    </row>
    <row r="45" spans="2:12" x14ac:dyDescent="0.45">
      <c r="B45" s="31"/>
      <c r="C45" s="4"/>
      <c r="D45" s="5"/>
      <c r="E45" s="6"/>
      <c r="F45" s="6"/>
      <c r="H45" s="31"/>
      <c r="I45" s="4"/>
      <c r="J45" s="5"/>
      <c r="K45" s="6"/>
      <c r="L45" s="6"/>
    </row>
    <row r="46" spans="2:12" x14ac:dyDescent="0.45">
      <c r="B46" s="31"/>
      <c r="C46" s="4"/>
      <c r="D46" s="5"/>
      <c r="E46" s="6"/>
      <c r="F46" s="6"/>
      <c r="H46" s="31"/>
      <c r="I46" s="4"/>
      <c r="J46" s="5"/>
      <c r="K46" s="6"/>
      <c r="L46" s="6"/>
    </row>
    <row r="47" spans="2:12" x14ac:dyDescent="0.45">
      <c r="B47" s="31"/>
      <c r="C47" s="4"/>
      <c r="D47" s="5"/>
      <c r="E47" s="6"/>
      <c r="F47" s="6"/>
      <c r="H47" s="31"/>
      <c r="I47" s="4"/>
      <c r="J47" s="5"/>
      <c r="K47" s="6"/>
      <c r="L47" s="6"/>
    </row>
    <row r="48" spans="2:12" x14ac:dyDescent="0.45">
      <c r="B48" s="31"/>
      <c r="C48" s="4"/>
      <c r="D48" s="5"/>
      <c r="E48" s="6"/>
      <c r="F48" s="6"/>
      <c r="H48" s="31"/>
      <c r="I48" s="4"/>
      <c r="J48" s="5"/>
      <c r="K48" s="6"/>
      <c r="L48" s="6"/>
    </row>
    <row r="49" spans="2:12" x14ac:dyDescent="0.45">
      <c r="B49" s="31"/>
      <c r="C49" s="4" t="s">
        <v>2</v>
      </c>
      <c r="D49" s="8"/>
      <c r="E49" s="6">
        <f>SUBTOTAL(9,Tableau4461626455461702318[Revenues])</f>
        <v>0</v>
      </c>
      <c r="F49" s="6">
        <f>SUBTOTAL(9,Tableau4461626455461702318[Expenses])</f>
        <v>0</v>
      </c>
      <c r="H49" s="31"/>
      <c r="I49" s="4" t="s">
        <v>2</v>
      </c>
      <c r="J49" s="8"/>
      <c r="K49" s="6">
        <f>SUBTOTAL(9,Tableau4461626455461702419[Revenues])</f>
        <v>0</v>
      </c>
      <c r="L49" s="6">
        <f>SUBTOTAL(9,Tableau4461626455461702419[Expenses])</f>
        <v>0</v>
      </c>
    </row>
    <row r="51" spans="2:12" x14ac:dyDescent="0.45">
      <c r="E51" s="16"/>
      <c r="K51" s="16"/>
    </row>
    <row r="52" spans="2:12" ht="18" customHeight="1" x14ac:dyDescent="0.45">
      <c r="B52" s="32" t="s">
        <v>20</v>
      </c>
      <c r="C52" s="3" t="s">
        <v>21</v>
      </c>
      <c r="D52" s="3" t="s">
        <v>1</v>
      </c>
      <c r="E52" s="3" t="s">
        <v>22</v>
      </c>
      <c r="F52" s="3" t="s">
        <v>23</v>
      </c>
      <c r="H52" s="33"/>
      <c r="I52" s="23"/>
      <c r="J52" s="23"/>
      <c r="K52" s="23"/>
      <c r="L52" s="23"/>
    </row>
    <row r="53" spans="2:12" x14ac:dyDescent="0.45">
      <c r="B53" s="31"/>
      <c r="C53" s="4"/>
      <c r="D53" s="5"/>
      <c r="E53" s="7"/>
      <c r="F53" s="7"/>
      <c r="H53" s="31"/>
      <c r="I53" s="20"/>
      <c r="J53" s="24"/>
      <c r="K53" s="25"/>
      <c r="L53" s="25"/>
    </row>
    <row r="54" spans="2:12" x14ac:dyDescent="0.45">
      <c r="B54" s="31"/>
      <c r="C54" s="4"/>
      <c r="D54" s="5"/>
      <c r="E54" s="6"/>
      <c r="F54" s="6"/>
      <c r="H54" s="31"/>
      <c r="I54" s="20"/>
      <c r="J54" s="24"/>
      <c r="K54" s="22"/>
      <c r="L54" s="22"/>
    </row>
    <row r="55" spans="2:12" x14ac:dyDescent="0.45">
      <c r="B55" s="31"/>
      <c r="C55" s="4"/>
      <c r="D55" s="5"/>
      <c r="E55" s="6"/>
      <c r="F55" s="6"/>
      <c r="H55" s="31"/>
      <c r="I55" s="20"/>
      <c r="J55" s="24"/>
      <c r="K55" s="22"/>
      <c r="L55" s="22"/>
    </row>
    <row r="56" spans="2:12" x14ac:dyDescent="0.45">
      <c r="B56" s="31"/>
      <c r="C56" s="4"/>
      <c r="D56" s="5"/>
      <c r="E56" s="6"/>
      <c r="F56" s="6"/>
      <c r="H56" s="31"/>
      <c r="I56" s="20"/>
      <c r="J56" s="24"/>
      <c r="K56" s="22"/>
      <c r="L56" s="22"/>
    </row>
    <row r="57" spans="2:12" x14ac:dyDescent="0.45">
      <c r="B57" s="31"/>
      <c r="C57" s="4"/>
      <c r="D57" s="5"/>
      <c r="E57" s="6"/>
      <c r="F57" s="6"/>
      <c r="H57" s="31"/>
      <c r="I57" s="20"/>
      <c r="J57" s="24"/>
      <c r="K57" s="22"/>
      <c r="L57" s="22"/>
    </row>
    <row r="58" spans="2:12" x14ac:dyDescent="0.45">
      <c r="B58" s="31"/>
      <c r="C58" s="4"/>
      <c r="D58" s="5"/>
      <c r="E58" s="6"/>
      <c r="F58" s="6"/>
      <c r="H58" s="31"/>
      <c r="I58" s="20"/>
      <c r="J58" s="24"/>
      <c r="K58" s="22"/>
      <c r="L58" s="22"/>
    </row>
    <row r="59" spans="2:12" x14ac:dyDescent="0.45">
      <c r="B59" s="31"/>
      <c r="C59" s="4"/>
      <c r="D59" s="5"/>
      <c r="E59" s="6"/>
      <c r="F59" s="6"/>
      <c r="H59" s="31"/>
      <c r="I59" s="20"/>
      <c r="J59" s="24"/>
      <c r="K59" s="22"/>
      <c r="L59" s="22"/>
    </row>
    <row r="60" spans="2:12" x14ac:dyDescent="0.45">
      <c r="B60" s="31"/>
      <c r="C60" s="4"/>
      <c r="D60" s="5"/>
      <c r="E60" s="6"/>
      <c r="F60" s="6"/>
      <c r="H60" s="31"/>
      <c r="I60" s="20"/>
      <c r="J60" s="24"/>
      <c r="K60" s="22"/>
      <c r="L60" s="22"/>
    </row>
    <row r="61" spans="2:12" x14ac:dyDescent="0.45">
      <c r="B61" s="31"/>
      <c r="C61" s="4" t="s">
        <v>2</v>
      </c>
      <c r="D61" s="8"/>
      <c r="E61" s="6">
        <f>SUBTOTAL(9,Tableau4461626455461702520[Revenues])</f>
        <v>0</v>
      </c>
      <c r="F61" s="6">
        <f>SUBTOTAL(9,Tableau4461626455461702520[Expenses])</f>
        <v>0</v>
      </c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H16:H25"/>
    <mergeCell ref="B52:B61"/>
    <mergeCell ref="B28:B37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5"/>
  <sheetViews>
    <sheetView zoomScale="61" workbookViewId="0">
      <selection activeCell="C2" sqref="C2:F2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29</v>
      </c>
      <c r="D2" s="31"/>
      <c r="E2" s="31"/>
      <c r="F2" s="31"/>
      <c r="G2" s="1"/>
      <c r="H2" s="2"/>
      <c r="I2" s="19" t="s">
        <v>0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30</v>
      </c>
      <c r="C4" s="3" t="s">
        <v>21</v>
      </c>
      <c r="D4" s="3" t="s">
        <v>1</v>
      </c>
      <c r="E4" s="3" t="s">
        <v>22</v>
      </c>
      <c r="F4" s="3" t="s">
        <v>23</v>
      </c>
      <c r="G4" s="1"/>
      <c r="H4" s="32" t="s">
        <v>8</v>
      </c>
      <c r="I4" s="3" t="s">
        <v>21</v>
      </c>
      <c r="J4" s="3" t="s">
        <v>1</v>
      </c>
      <c r="K4" s="3" t="s">
        <v>22</v>
      </c>
      <c r="L4" s="3" t="s">
        <v>23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ht="13.5" customHeight="1" x14ac:dyDescent="0.45">
      <c r="A13" s="1"/>
      <c r="B13" s="31"/>
      <c r="C13" s="4"/>
      <c r="D13" s="5"/>
      <c r="E13" s="6"/>
      <c r="F13" s="6"/>
      <c r="G13" s="1"/>
      <c r="H13" s="31"/>
      <c r="I13" s="4" t="s">
        <v>2</v>
      </c>
      <c r="J13" s="8"/>
      <c r="K13" s="6">
        <f>SUBTOTAL(9,Tableau446162645546170143241[Revenues])</f>
        <v>0</v>
      </c>
      <c r="L13" s="6">
        <f>SUBTOTAL(9,Tableau446162645546170143241[Expenses])</f>
        <v>0</v>
      </c>
    </row>
    <row r="14" spans="1:12" ht="14.65" customHeight="1" x14ac:dyDescent="0.45">
      <c r="A14" s="1"/>
      <c r="B14" s="31"/>
      <c r="C14" s="26"/>
      <c r="D14" s="27"/>
      <c r="E14" s="28"/>
      <c r="F14" s="28"/>
      <c r="G14" s="1"/>
      <c r="H14" s="1"/>
      <c r="I14" s="1"/>
      <c r="J14" s="1"/>
      <c r="K14" s="1"/>
      <c r="L14" s="1"/>
    </row>
    <row r="15" spans="1:12" ht="14.65" customHeight="1" x14ac:dyDescent="0.45">
      <c r="A15" s="1"/>
      <c r="B15" s="31"/>
      <c r="C15" s="4" t="s">
        <v>2</v>
      </c>
      <c r="D15" s="8"/>
      <c r="E15" s="6">
        <f>SUBTOTAL(9,Tableau41323425158672233[Revenues])</f>
        <v>0</v>
      </c>
      <c r="F15" s="6">
        <f>SUBTOTAL(9,Tableau41323425158672233[Expenses])</f>
        <v>0</v>
      </c>
      <c r="G15" s="1"/>
      <c r="H15" s="1"/>
      <c r="I15" s="1"/>
      <c r="J15" s="1"/>
      <c r="K15" s="1"/>
      <c r="L15" s="1"/>
    </row>
    <row r="16" spans="1:12" ht="14.65" customHeight="1" x14ac:dyDescent="0.45">
      <c r="A16" s="1"/>
      <c r="B16" s="10"/>
      <c r="C16" s="11"/>
      <c r="D16" s="11"/>
      <c r="E16" s="11"/>
      <c r="F16" s="11"/>
      <c r="G16" s="1"/>
      <c r="H16" s="1"/>
      <c r="I16" s="1"/>
      <c r="J16" s="1"/>
      <c r="K16" s="1"/>
      <c r="L16" s="1"/>
    </row>
    <row r="17" spans="1:12" x14ac:dyDescent="0.45">
      <c r="A17" s="1"/>
      <c r="B17" s="10"/>
      <c r="C17" s="12"/>
      <c r="D17" s="13"/>
      <c r="E17" s="9"/>
      <c r="F17" s="14"/>
      <c r="G17" s="1"/>
      <c r="H17" s="1"/>
      <c r="I17" s="1"/>
      <c r="J17" s="1"/>
      <c r="K17" s="1"/>
      <c r="L17" s="1"/>
    </row>
    <row r="18" spans="1:12" ht="18" customHeight="1" x14ac:dyDescent="0.45">
      <c r="A18" s="1"/>
      <c r="B18" s="32" t="s">
        <v>20</v>
      </c>
      <c r="C18" s="3" t="s">
        <v>21</v>
      </c>
      <c r="D18" s="3" t="s">
        <v>1</v>
      </c>
      <c r="E18" s="3" t="s">
        <v>22</v>
      </c>
      <c r="F18" s="3" t="s">
        <v>23</v>
      </c>
      <c r="G18" s="1"/>
      <c r="H18" s="33"/>
      <c r="I18" s="23"/>
      <c r="J18" s="23"/>
      <c r="K18" s="23"/>
      <c r="L18" s="23"/>
    </row>
    <row r="19" spans="1:12" x14ac:dyDescent="0.45">
      <c r="A19" s="1"/>
      <c r="B19" s="31"/>
      <c r="C19" s="4"/>
      <c r="D19" s="5"/>
      <c r="E19" s="7"/>
      <c r="F19" s="7"/>
      <c r="G19" s="1"/>
      <c r="H19" s="31"/>
      <c r="I19" s="20"/>
      <c r="J19" s="24"/>
      <c r="K19" s="25"/>
      <c r="L19" s="25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20"/>
      <c r="J20" s="24"/>
      <c r="K20" s="22"/>
      <c r="L20" s="22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20"/>
      <c r="J21" s="24"/>
      <c r="K21" s="22"/>
      <c r="L21" s="22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20"/>
      <c r="J22" s="24"/>
      <c r="K22" s="22"/>
      <c r="L22" s="22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20"/>
      <c r="J23" s="24"/>
      <c r="K23" s="22"/>
      <c r="L23" s="22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20"/>
      <c r="J24" s="24"/>
      <c r="K24" s="22"/>
      <c r="L24" s="22"/>
    </row>
    <row r="25" spans="1:12" x14ac:dyDescent="0.45">
      <c r="A25" s="1"/>
      <c r="B25" s="31"/>
      <c r="C25" s="4"/>
      <c r="D25" s="5"/>
      <c r="E25" s="6"/>
      <c r="F25" s="6"/>
      <c r="G25" s="1"/>
      <c r="H25" s="31"/>
      <c r="I25" s="20"/>
      <c r="J25" s="24"/>
      <c r="K25" s="22"/>
      <c r="L25" s="22"/>
    </row>
    <row r="26" spans="1:12" x14ac:dyDescent="0.45">
      <c r="A26" s="1"/>
      <c r="B26" s="31"/>
      <c r="C26" s="4"/>
      <c r="D26" s="5"/>
      <c r="E26" s="6"/>
      <c r="F26" s="6"/>
      <c r="G26" s="1"/>
      <c r="H26" s="31"/>
      <c r="I26" s="20"/>
      <c r="J26" s="24"/>
      <c r="K26" s="22"/>
      <c r="L26" s="22"/>
    </row>
    <row r="27" spans="1:12" x14ac:dyDescent="0.45">
      <c r="A27" s="1"/>
      <c r="B27" s="31"/>
      <c r="C27" s="4" t="s">
        <v>2</v>
      </c>
      <c r="D27" s="8"/>
      <c r="E27" s="6">
        <f>SUBTOTAL(9,Tableau4461626455461702834[Revenues])</f>
        <v>0</v>
      </c>
      <c r="F27" s="6">
        <f>SUBTOTAL(9,Tableau4461626455461702834[Expenses])</f>
        <v>0</v>
      </c>
      <c r="G27" s="1"/>
      <c r="H27" s="31"/>
      <c r="I27" s="20"/>
      <c r="J27" s="21"/>
      <c r="K27" s="22"/>
      <c r="L27" s="22"/>
    </row>
    <row r="30" spans="1:12" ht="18" customHeight="1" x14ac:dyDescent="0.45">
      <c r="B30" s="33"/>
      <c r="C30" s="23"/>
      <c r="D30" s="23"/>
      <c r="E30" s="23"/>
      <c r="F30" s="23"/>
      <c r="H30" s="33"/>
      <c r="I30" s="23"/>
      <c r="J30" s="23"/>
      <c r="K30" s="23"/>
      <c r="L30" s="23"/>
    </row>
    <row r="31" spans="1:12" x14ac:dyDescent="0.45">
      <c r="B31" s="31"/>
      <c r="C31" s="20"/>
      <c r="D31" s="24"/>
      <c r="E31" s="25"/>
      <c r="F31" s="25"/>
      <c r="H31" s="31"/>
      <c r="I31" s="20"/>
      <c r="J31" s="24"/>
      <c r="K31" s="25"/>
      <c r="L31" s="25"/>
    </row>
    <row r="32" spans="1:12" x14ac:dyDescent="0.45">
      <c r="B32" s="31"/>
      <c r="C32" s="20"/>
      <c r="D32" s="24"/>
      <c r="E32" s="22"/>
      <c r="F32" s="22"/>
      <c r="H32" s="31"/>
      <c r="I32" s="20"/>
      <c r="J32" s="24"/>
      <c r="K32" s="22"/>
      <c r="L32" s="22"/>
    </row>
    <row r="33" spans="2:12" x14ac:dyDescent="0.45">
      <c r="B33" s="31"/>
      <c r="C33" s="20"/>
      <c r="D33" s="24"/>
      <c r="E33" s="22"/>
      <c r="F33" s="22"/>
      <c r="H33" s="31"/>
      <c r="I33" s="20"/>
      <c r="J33" s="24"/>
      <c r="K33" s="22"/>
      <c r="L33" s="22"/>
    </row>
    <row r="34" spans="2:12" x14ac:dyDescent="0.45">
      <c r="B34" s="31"/>
      <c r="C34" s="20"/>
      <c r="D34" s="24"/>
      <c r="E34" s="22"/>
      <c r="F34" s="22"/>
      <c r="H34" s="31"/>
      <c r="I34" s="20"/>
      <c r="J34" s="24"/>
      <c r="K34" s="22"/>
      <c r="L34" s="22"/>
    </row>
    <row r="35" spans="2:12" x14ac:dyDescent="0.45">
      <c r="B35" s="31"/>
      <c r="C35" s="20"/>
      <c r="D35" s="24"/>
      <c r="E35" s="22"/>
      <c r="F35" s="22"/>
      <c r="H35" s="31"/>
      <c r="I35" s="20"/>
      <c r="J35" s="24"/>
      <c r="K35" s="22"/>
      <c r="L35" s="22"/>
    </row>
    <row r="36" spans="2:12" x14ac:dyDescent="0.45">
      <c r="B36" s="31"/>
      <c r="C36" s="20"/>
      <c r="D36" s="24"/>
      <c r="E36" s="22"/>
      <c r="F36" s="22"/>
      <c r="H36" s="31"/>
      <c r="I36" s="20"/>
      <c r="J36" s="24"/>
      <c r="K36" s="22"/>
      <c r="L36" s="22"/>
    </row>
    <row r="37" spans="2:12" x14ac:dyDescent="0.45">
      <c r="B37" s="31"/>
      <c r="C37" s="20"/>
      <c r="D37" s="24"/>
      <c r="E37" s="22"/>
      <c r="F37" s="22"/>
      <c r="H37" s="31"/>
      <c r="I37" s="20"/>
      <c r="J37" s="24"/>
      <c r="K37" s="22"/>
      <c r="L37" s="22"/>
    </row>
    <row r="38" spans="2:12" x14ac:dyDescent="0.45">
      <c r="B38" s="31"/>
      <c r="C38" s="20"/>
      <c r="D38" s="24"/>
      <c r="E38" s="22"/>
      <c r="F38" s="22"/>
      <c r="H38" s="31"/>
      <c r="I38" s="20"/>
      <c r="J38" s="24"/>
      <c r="K38" s="22"/>
      <c r="L38" s="22"/>
    </row>
    <row r="39" spans="2:12" x14ac:dyDescent="0.45">
      <c r="B39" s="31"/>
      <c r="C39" s="20"/>
      <c r="D39" s="21"/>
      <c r="E39" s="22"/>
      <c r="F39" s="22"/>
      <c r="H39" s="31"/>
      <c r="I39" s="20"/>
      <c r="J39" s="21"/>
      <c r="K39" s="22"/>
      <c r="L39" s="22"/>
    </row>
    <row r="41" spans="2:12" x14ac:dyDescent="0.45">
      <c r="E41" s="16"/>
    </row>
    <row r="42" spans="2:12" ht="18" customHeight="1" x14ac:dyDescent="0.45">
      <c r="B42" s="33"/>
      <c r="C42" s="23"/>
      <c r="D42" s="23"/>
      <c r="E42" s="23"/>
      <c r="F42" s="23"/>
      <c r="H42" s="33"/>
      <c r="I42" s="23"/>
      <c r="J42" s="23"/>
      <c r="K42" s="23"/>
      <c r="L42" s="23"/>
    </row>
    <row r="43" spans="2:12" x14ac:dyDescent="0.45">
      <c r="B43" s="31"/>
      <c r="C43" s="20"/>
      <c r="D43" s="24"/>
      <c r="E43" s="25"/>
      <c r="F43" s="25"/>
      <c r="H43" s="31"/>
      <c r="I43" s="20"/>
      <c r="J43" s="24"/>
      <c r="K43" s="25"/>
      <c r="L43" s="25"/>
    </row>
    <row r="44" spans="2:12" x14ac:dyDescent="0.45">
      <c r="B44" s="31"/>
      <c r="C44" s="20"/>
      <c r="D44" s="24"/>
      <c r="E44" s="22"/>
      <c r="F44" s="22"/>
      <c r="H44" s="31"/>
      <c r="I44" s="20"/>
      <c r="J44" s="24"/>
      <c r="K44" s="22"/>
      <c r="L44" s="22"/>
    </row>
    <row r="45" spans="2:12" x14ac:dyDescent="0.45">
      <c r="B45" s="31"/>
      <c r="C45" s="20"/>
      <c r="D45" s="24"/>
      <c r="E45" s="22"/>
      <c r="F45" s="22"/>
      <c r="H45" s="31"/>
      <c r="I45" s="20"/>
      <c r="J45" s="24"/>
      <c r="K45" s="22"/>
      <c r="L45" s="22"/>
    </row>
    <row r="46" spans="2:12" x14ac:dyDescent="0.45">
      <c r="B46" s="31"/>
      <c r="C46" s="20"/>
      <c r="D46" s="24"/>
      <c r="E46" s="22"/>
      <c r="F46" s="22"/>
      <c r="H46" s="31"/>
      <c r="I46" s="20"/>
      <c r="J46" s="24"/>
      <c r="K46" s="22"/>
      <c r="L46" s="22"/>
    </row>
    <row r="47" spans="2:12" x14ac:dyDescent="0.45">
      <c r="B47" s="31"/>
      <c r="C47" s="20"/>
      <c r="D47" s="24"/>
      <c r="E47" s="22"/>
      <c r="F47" s="22"/>
      <c r="H47" s="31"/>
      <c r="I47" s="20"/>
      <c r="J47" s="24"/>
      <c r="K47" s="22"/>
      <c r="L47" s="22"/>
    </row>
    <row r="48" spans="2:12" x14ac:dyDescent="0.45">
      <c r="B48" s="31"/>
      <c r="C48" s="20"/>
      <c r="D48" s="24"/>
      <c r="E48" s="22"/>
      <c r="F48" s="22"/>
      <c r="H48" s="31"/>
      <c r="I48" s="20"/>
      <c r="J48" s="24"/>
      <c r="K48" s="22"/>
      <c r="L48" s="22"/>
    </row>
    <row r="49" spans="2:12" x14ac:dyDescent="0.45">
      <c r="B49" s="31"/>
      <c r="C49" s="20"/>
      <c r="D49" s="24"/>
      <c r="E49" s="22"/>
      <c r="F49" s="22"/>
      <c r="H49" s="31"/>
      <c r="I49" s="20"/>
      <c r="J49" s="24"/>
      <c r="K49" s="22"/>
      <c r="L49" s="22"/>
    </row>
    <row r="50" spans="2:12" x14ac:dyDescent="0.45">
      <c r="B50" s="31"/>
      <c r="C50" s="20"/>
      <c r="D50" s="24"/>
      <c r="E50" s="22"/>
      <c r="F50" s="22"/>
      <c r="H50" s="31"/>
      <c r="I50" s="20"/>
      <c r="J50" s="24"/>
      <c r="K50" s="22"/>
      <c r="L50" s="22"/>
    </row>
    <row r="51" spans="2:12" x14ac:dyDescent="0.45">
      <c r="B51" s="31"/>
      <c r="C51" s="20"/>
      <c r="D51" s="21"/>
      <c r="E51" s="22"/>
      <c r="F51" s="22"/>
      <c r="H51" s="31"/>
      <c r="I51" s="20"/>
      <c r="J51" s="21"/>
      <c r="K51" s="22"/>
      <c r="L51" s="22"/>
    </row>
    <row r="53" spans="2:12" x14ac:dyDescent="0.45">
      <c r="E53" s="16"/>
      <c r="K53" s="16"/>
    </row>
    <row r="54" spans="2:12" ht="18" customHeight="1" x14ac:dyDescent="0.45">
      <c r="B54" s="33"/>
      <c r="C54" s="23"/>
      <c r="D54" s="23"/>
      <c r="E54" s="23"/>
      <c r="F54" s="23"/>
      <c r="H54" s="33"/>
      <c r="I54" s="23"/>
      <c r="J54" s="23"/>
      <c r="K54" s="23"/>
      <c r="L54" s="23"/>
    </row>
    <row r="55" spans="2:12" x14ac:dyDescent="0.45">
      <c r="B55" s="31"/>
      <c r="C55" s="20"/>
      <c r="D55" s="24"/>
      <c r="E55" s="25"/>
      <c r="F55" s="25"/>
      <c r="H55" s="31"/>
      <c r="I55" s="20"/>
      <c r="J55" s="24"/>
      <c r="K55" s="25"/>
      <c r="L55" s="25"/>
    </row>
    <row r="56" spans="2:12" x14ac:dyDescent="0.45">
      <c r="B56" s="31"/>
      <c r="C56" s="20"/>
      <c r="D56" s="24"/>
      <c r="E56" s="22"/>
      <c r="F56" s="22"/>
      <c r="H56" s="31"/>
      <c r="I56" s="20"/>
      <c r="J56" s="24"/>
      <c r="K56" s="22"/>
      <c r="L56" s="22"/>
    </row>
    <row r="57" spans="2:12" x14ac:dyDescent="0.45">
      <c r="B57" s="31"/>
      <c r="C57" s="20"/>
      <c r="D57" s="24"/>
      <c r="E57" s="22"/>
      <c r="F57" s="22"/>
      <c r="H57" s="31"/>
      <c r="I57" s="20"/>
      <c r="J57" s="24"/>
      <c r="K57" s="22"/>
      <c r="L57" s="22"/>
    </row>
    <row r="58" spans="2:12" x14ac:dyDescent="0.45">
      <c r="B58" s="31"/>
      <c r="C58" s="20"/>
      <c r="D58" s="24"/>
      <c r="E58" s="22"/>
      <c r="F58" s="22"/>
      <c r="H58" s="31"/>
      <c r="I58" s="20"/>
      <c r="J58" s="24"/>
      <c r="K58" s="22"/>
      <c r="L58" s="22"/>
    </row>
    <row r="59" spans="2:12" x14ac:dyDescent="0.45">
      <c r="B59" s="31"/>
      <c r="C59" s="20"/>
      <c r="D59" s="24"/>
      <c r="E59" s="22"/>
      <c r="F59" s="22"/>
      <c r="H59" s="31"/>
      <c r="I59" s="20"/>
      <c r="J59" s="24"/>
      <c r="K59" s="22"/>
      <c r="L59" s="22"/>
    </row>
    <row r="60" spans="2:12" x14ac:dyDescent="0.45">
      <c r="B60" s="31"/>
      <c r="C60" s="20"/>
      <c r="D60" s="24"/>
      <c r="E60" s="22"/>
      <c r="F60" s="22"/>
      <c r="H60" s="31"/>
      <c r="I60" s="20"/>
      <c r="J60" s="24"/>
      <c r="K60" s="22"/>
      <c r="L60" s="22"/>
    </row>
    <row r="61" spans="2:12" x14ac:dyDescent="0.45">
      <c r="B61" s="31"/>
      <c r="C61" s="20"/>
      <c r="D61" s="24"/>
      <c r="E61" s="22"/>
      <c r="F61" s="22"/>
      <c r="H61" s="31"/>
      <c r="I61" s="20"/>
      <c r="J61" s="24"/>
      <c r="K61" s="22"/>
      <c r="L61" s="22"/>
    </row>
    <row r="62" spans="2:12" x14ac:dyDescent="0.45">
      <c r="B62" s="31"/>
      <c r="C62" s="20"/>
      <c r="D62" s="24"/>
      <c r="E62" s="22"/>
      <c r="F62" s="22"/>
      <c r="H62" s="31"/>
      <c r="I62" s="20"/>
      <c r="J62" s="24"/>
      <c r="K62" s="22"/>
      <c r="L62" s="22"/>
    </row>
    <row r="63" spans="2:12" x14ac:dyDescent="0.45">
      <c r="B63" s="31"/>
      <c r="C63" s="20"/>
      <c r="D63" s="21"/>
      <c r="E63" s="22"/>
      <c r="F63" s="22"/>
      <c r="H63" s="31"/>
      <c r="I63" s="20"/>
      <c r="J63" s="21"/>
      <c r="K63" s="22"/>
      <c r="L63" s="22"/>
    </row>
    <row r="66" spans="2:6" ht="18" customHeight="1" x14ac:dyDescent="0.45">
      <c r="B66" s="33"/>
      <c r="C66" s="23"/>
      <c r="D66" s="23"/>
      <c r="E66" s="23"/>
      <c r="F66" s="23"/>
    </row>
    <row r="67" spans="2:6" x14ac:dyDescent="0.45">
      <c r="B67" s="31"/>
      <c r="C67" s="20"/>
      <c r="D67" s="24"/>
      <c r="E67" s="25"/>
      <c r="F67" s="25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4"/>
      <c r="E73" s="22"/>
      <c r="F73" s="22"/>
    </row>
    <row r="74" spans="2:6" x14ac:dyDescent="0.45">
      <c r="B74" s="31"/>
      <c r="C74" s="20"/>
      <c r="D74" s="24"/>
      <c r="E74" s="22"/>
      <c r="F74" s="22"/>
    </row>
    <row r="75" spans="2:6" x14ac:dyDescent="0.45">
      <c r="B75" s="31"/>
      <c r="C75" s="20"/>
      <c r="D75" s="21"/>
      <c r="E75" s="22"/>
      <c r="F75" s="22"/>
    </row>
  </sheetData>
  <mergeCells count="12">
    <mergeCell ref="B66:B75"/>
    <mergeCell ref="B4:B15"/>
    <mergeCell ref="H42:H51"/>
    <mergeCell ref="C2:F2"/>
    <mergeCell ref="H54:H63"/>
    <mergeCell ref="B18:B27"/>
    <mergeCell ref="B54:B63"/>
    <mergeCell ref="H18:H27"/>
    <mergeCell ref="H4:H13"/>
    <mergeCell ref="B30:B39"/>
    <mergeCell ref="H30:H39"/>
    <mergeCell ref="B42:B51"/>
  </mergeCells>
  <pageMargins left="0.7" right="0.7" top="0.75" bottom="0.75" header="0.3" footer="0.3"/>
  <pageSetup paperSize="9" orientation="portrait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3"/>
  <sheetViews>
    <sheetView zoomScale="66" workbookViewId="0">
      <selection activeCell="C2" sqref="C2:F2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40.59765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40.59765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45</v>
      </c>
      <c r="D2" s="31"/>
      <c r="E2" s="31"/>
      <c r="F2" s="31"/>
      <c r="G2" s="1"/>
      <c r="H2" s="2"/>
      <c r="I2" s="19" t="s">
        <v>0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31</v>
      </c>
      <c r="C4" s="3" t="s">
        <v>21</v>
      </c>
      <c r="D4" s="3" t="s">
        <v>1</v>
      </c>
      <c r="E4" s="3" t="s">
        <v>22</v>
      </c>
      <c r="F4" s="3" t="s">
        <v>23</v>
      </c>
      <c r="G4" s="1"/>
      <c r="H4" s="32" t="s">
        <v>9</v>
      </c>
      <c r="I4" s="3" t="s">
        <v>21</v>
      </c>
      <c r="J4" s="3" t="s">
        <v>1</v>
      </c>
      <c r="K4" s="3" t="s">
        <v>22</v>
      </c>
      <c r="L4" s="3" t="s">
        <v>23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2</v>
      </c>
      <c r="D13" s="8"/>
      <c r="E13" s="6">
        <f>SUBTOTAL(9,Tableau413234251586722[Revenues])</f>
        <v>0</v>
      </c>
      <c r="F13" s="6">
        <f>SUBTOTAL(9,Tableau413234251586722[Expenses])</f>
        <v>0</v>
      </c>
      <c r="G13" s="1"/>
      <c r="H13" s="31"/>
      <c r="I13" s="4" t="s">
        <v>2</v>
      </c>
      <c r="J13" s="8"/>
      <c r="K13" s="6">
        <f>SUBTOTAL(9,Tableau4461626455461701432[Revenues])</f>
        <v>0</v>
      </c>
      <c r="L13" s="6">
        <f>SUBTOTAL(9,Tableau4461626455461701432[Expenses])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2" t="s">
        <v>32</v>
      </c>
      <c r="C16" s="3" t="s">
        <v>21</v>
      </c>
      <c r="D16" s="3" t="s">
        <v>1</v>
      </c>
      <c r="E16" s="3" t="s">
        <v>22</v>
      </c>
      <c r="F16" s="3" t="s">
        <v>23</v>
      </c>
      <c r="G16" s="1"/>
      <c r="H16" s="32" t="s">
        <v>33</v>
      </c>
      <c r="I16" s="3" t="s">
        <v>21</v>
      </c>
      <c r="J16" s="3" t="s">
        <v>1</v>
      </c>
      <c r="K16" s="3" t="s">
        <v>22</v>
      </c>
      <c r="L16" s="3" t="s">
        <v>23</v>
      </c>
    </row>
    <row r="17" spans="1:12" x14ac:dyDescent="0.45">
      <c r="A17" s="1"/>
      <c r="B17" s="31"/>
      <c r="C17" s="4"/>
      <c r="D17" s="5"/>
      <c r="E17" s="7"/>
      <c r="F17" s="7"/>
      <c r="G17" s="1"/>
      <c r="H17" s="31"/>
      <c r="I17" s="4"/>
      <c r="J17" s="5"/>
      <c r="K17" s="7"/>
      <c r="L17" s="7"/>
    </row>
    <row r="18" spans="1:12" x14ac:dyDescent="0.45">
      <c r="A18" s="1"/>
      <c r="B18" s="31"/>
      <c r="C18" s="4"/>
      <c r="D18" s="5"/>
      <c r="E18" s="6"/>
      <c r="F18" s="6"/>
      <c r="G18" s="1"/>
      <c r="H18" s="31"/>
      <c r="I18" s="4"/>
      <c r="J18" s="5"/>
      <c r="K18" s="6"/>
      <c r="L18" s="6"/>
    </row>
    <row r="19" spans="1:12" x14ac:dyDescent="0.45">
      <c r="A19" s="1"/>
      <c r="B19" s="31"/>
      <c r="C19" s="4"/>
      <c r="D19" s="5"/>
      <c r="E19" s="6"/>
      <c r="F19" s="6"/>
      <c r="G19" s="1"/>
      <c r="H19" s="31"/>
      <c r="I19" s="4"/>
      <c r="J19" s="5"/>
      <c r="K19" s="6"/>
      <c r="L19" s="6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4"/>
      <c r="J20" s="5"/>
      <c r="K20" s="6"/>
      <c r="L20" s="6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4"/>
      <c r="J21" s="5"/>
      <c r="K21" s="6"/>
      <c r="L21" s="6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4"/>
      <c r="J22" s="5"/>
      <c r="K22" s="6"/>
      <c r="L22" s="6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4"/>
      <c r="J23" s="5"/>
      <c r="K23" s="6"/>
      <c r="L23" s="6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4"/>
      <c r="J24" s="5"/>
      <c r="K24" s="6"/>
      <c r="L24" s="6"/>
    </row>
    <row r="25" spans="1:12" x14ac:dyDescent="0.45">
      <c r="A25" s="1"/>
      <c r="B25" s="31"/>
      <c r="C25" s="4" t="s">
        <v>2</v>
      </c>
      <c r="D25" s="8"/>
      <c r="E25" s="6">
        <f>SUBTOTAL(9,Tableau44616264554617028[Revenues])</f>
        <v>0</v>
      </c>
      <c r="F25" s="6">
        <f>SUBTOTAL(9,Tableau44616264554617028[Expenses])</f>
        <v>0</v>
      </c>
      <c r="G25" s="1"/>
      <c r="H25" s="31"/>
      <c r="I25" s="4" t="s">
        <v>2</v>
      </c>
      <c r="J25" s="8"/>
      <c r="K25" s="6">
        <f>SUBTOTAL(9,Tableau4461626455461702024[Revenues])</f>
        <v>0</v>
      </c>
      <c r="L25" s="6">
        <f>SUBTOTAL(9,Tableau4461626455461702024[Expenses])</f>
        <v>0</v>
      </c>
    </row>
    <row r="28" spans="1:12" ht="18" customHeight="1" x14ac:dyDescent="0.45">
      <c r="B28" s="32" t="s">
        <v>10</v>
      </c>
      <c r="C28" s="3" t="s">
        <v>21</v>
      </c>
      <c r="D28" s="3" t="s">
        <v>1</v>
      </c>
      <c r="E28" s="3" t="s">
        <v>22</v>
      </c>
      <c r="F28" s="3" t="s">
        <v>23</v>
      </c>
      <c r="H28" s="32" t="s">
        <v>34</v>
      </c>
      <c r="I28" s="3" t="s">
        <v>21</v>
      </c>
      <c r="J28" s="3" t="s">
        <v>1</v>
      </c>
      <c r="K28" s="3" t="s">
        <v>22</v>
      </c>
      <c r="L28" s="3" t="s">
        <v>23</v>
      </c>
    </row>
    <row r="29" spans="1:12" x14ac:dyDescent="0.45">
      <c r="B29" s="31"/>
      <c r="C29" s="4"/>
      <c r="D29" s="5"/>
      <c r="E29" s="7"/>
      <c r="F29" s="7"/>
      <c r="H29" s="31"/>
      <c r="I29" s="4"/>
      <c r="J29" s="5"/>
      <c r="K29" s="7"/>
      <c r="L29" s="7"/>
    </row>
    <row r="30" spans="1:12" x14ac:dyDescent="0.45">
      <c r="B30" s="31"/>
      <c r="C30" s="4"/>
      <c r="D30" s="5"/>
      <c r="E30" s="6"/>
      <c r="F30" s="6"/>
      <c r="H30" s="31"/>
      <c r="I30" s="4"/>
      <c r="J30" s="5"/>
      <c r="K30" s="6"/>
      <c r="L30" s="6"/>
    </row>
    <row r="31" spans="1:12" x14ac:dyDescent="0.45">
      <c r="B31" s="31"/>
      <c r="C31" s="4"/>
      <c r="D31" s="5"/>
      <c r="E31" s="6"/>
      <c r="F31" s="6"/>
      <c r="H31" s="31"/>
      <c r="I31" s="4"/>
      <c r="J31" s="5"/>
      <c r="K31" s="6"/>
      <c r="L31" s="6"/>
    </row>
    <row r="32" spans="1:12" x14ac:dyDescent="0.45">
      <c r="B32" s="31"/>
      <c r="C32" s="4"/>
      <c r="D32" s="5"/>
      <c r="E32" s="6"/>
      <c r="F32" s="6"/>
      <c r="H32" s="31"/>
      <c r="I32" s="4"/>
      <c r="J32" s="5"/>
      <c r="K32" s="6"/>
      <c r="L32" s="6"/>
    </row>
    <row r="33" spans="2:12" x14ac:dyDescent="0.45">
      <c r="B33" s="31"/>
      <c r="C33" s="4"/>
      <c r="D33" s="5"/>
      <c r="E33" s="6"/>
      <c r="F33" s="6"/>
      <c r="H33" s="31"/>
      <c r="I33" s="4"/>
      <c r="J33" s="5"/>
      <c r="K33" s="6"/>
      <c r="L33" s="6"/>
    </row>
    <row r="34" spans="2:12" x14ac:dyDescent="0.45">
      <c r="B34" s="31"/>
      <c r="C34" s="4"/>
      <c r="D34" s="5"/>
      <c r="E34" s="6"/>
      <c r="F34" s="6"/>
      <c r="H34" s="31"/>
      <c r="I34" s="4"/>
      <c r="J34" s="5"/>
      <c r="K34" s="6"/>
      <c r="L34" s="6"/>
    </row>
    <row r="35" spans="2:12" x14ac:dyDescent="0.45">
      <c r="B35" s="31"/>
      <c r="C35" s="4"/>
      <c r="D35" s="5"/>
      <c r="E35" s="6"/>
      <c r="F35" s="6"/>
      <c r="H35" s="31"/>
      <c r="I35" s="4"/>
      <c r="J35" s="5"/>
      <c r="K35" s="6"/>
      <c r="L35" s="6"/>
    </row>
    <row r="36" spans="2:12" x14ac:dyDescent="0.45">
      <c r="B36" s="31"/>
      <c r="C36" s="4"/>
      <c r="D36" s="5"/>
      <c r="E36" s="6"/>
      <c r="F36" s="6"/>
      <c r="H36" s="31"/>
      <c r="I36" s="4"/>
      <c r="J36" s="5"/>
      <c r="K36" s="6"/>
      <c r="L36" s="6"/>
    </row>
    <row r="37" spans="2:12" x14ac:dyDescent="0.45">
      <c r="B37" s="31"/>
      <c r="C37" s="4" t="s">
        <v>2</v>
      </c>
      <c r="D37" s="8"/>
      <c r="E37" s="6">
        <f>SUBTOTAL(9,Tableau4461626455461702125[Revenues])</f>
        <v>0</v>
      </c>
      <c r="F37" s="6">
        <f>SUBTOTAL(9,Tableau4461626455461702125[Expenses])</f>
        <v>0</v>
      </c>
      <c r="H37" s="31"/>
      <c r="I37" s="4" t="s">
        <v>2</v>
      </c>
      <c r="J37" s="8"/>
      <c r="K37" s="6">
        <f>SUBTOTAL(9,Tableau4461626455461702226[Revenues])</f>
        <v>0</v>
      </c>
      <c r="L37" s="6">
        <f>SUBTOTAL(9,Tableau4461626455461702226[Expenses])</f>
        <v>0</v>
      </c>
    </row>
    <row r="39" spans="2:12" x14ac:dyDescent="0.45">
      <c r="E39" s="16"/>
    </row>
    <row r="40" spans="2:12" ht="18" customHeight="1" x14ac:dyDescent="0.45">
      <c r="B40" s="32" t="s">
        <v>11</v>
      </c>
      <c r="C40" s="3" t="s">
        <v>21</v>
      </c>
      <c r="D40" s="3" t="s">
        <v>1</v>
      </c>
      <c r="E40" s="3" t="s">
        <v>22</v>
      </c>
      <c r="F40" s="3" t="s">
        <v>23</v>
      </c>
      <c r="H40" s="32" t="s">
        <v>35</v>
      </c>
      <c r="I40" s="3" t="s">
        <v>21</v>
      </c>
      <c r="J40" s="3" t="s">
        <v>1</v>
      </c>
      <c r="K40" s="3" t="s">
        <v>22</v>
      </c>
      <c r="L40" s="3" t="s">
        <v>23</v>
      </c>
    </row>
    <row r="41" spans="2:12" x14ac:dyDescent="0.45">
      <c r="B41" s="31"/>
      <c r="C41" s="4"/>
      <c r="D41" s="5"/>
      <c r="E41" s="7"/>
      <c r="F41" s="7"/>
      <c r="H41" s="31"/>
      <c r="I41" s="4"/>
      <c r="J41" s="5"/>
      <c r="K41" s="7"/>
      <c r="L41" s="7"/>
    </row>
    <row r="42" spans="2:12" x14ac:dyDescent="0.45">
      <c r="B42" s="31"/>
      <c r="C42" s="4"/>
      <c r="D42" s="5"/>
      <c r="E42" s="6"/>
      <c r="F42" s="6"/>
      <c r="H42" s="31"/>
      <c r="I42" s="4"/>
      <c r="J42" s="5"/>
      <c r="K42" s="6"/>
      <c r="L42" s="6"/>
    </row>
    <row r="43" spans="2:12" x14ac:dyDescent="0.45">
      <c r="B43" s="31"/>
      <c r="C43" s="4"/>
      <c r="D43" s="5"/>
      <c r="E43" s="6"/>
      <c r="F43" s="6"/>
      <c r="H43" s="31"/>
      <c r="I43" s="4"/>
      <c r="J43" s="5"/>
      <c r="K43" s="6"/>
      <c r="L43" s="6"/>
    </row>
    <row r="44" spans="2:12" x14ac:dyDescent="0.45">
      <c r="B44" s="31"/>
      <c r="C44" s="4"/>
      <c r="D44" s="5"/>
      <c r="E44" s="6"/>
      <c r="F44" s="6"/>
      <c r="H44" s="31"/>
      <c r="I44" s="4"/>
      <c r="J44" s="5"/>
      <c r="K44" s="6"/>
      <c r="L44" s="6"/>
    </row>
    <row r="45" spans="2:12" x14ac:dyDescent="0.45">
      <c r="B45" s="31"/>
      <c r="C45" s="4"/>
      <c r="D45" s="5"/>
      <c r="E45" s="6"/>
      <c r="F45" s="6"/>
      <c r="H45" s="31"/>
      <c r="I45" s="4"/>
      <c r="J45" s="5"/>
      <c r="K45" s="6"/>
      <c r="L45" s="6"/>
    </row>
    <row r="46" spans="2:12" x14ac:dyDescent="0.45">
      <c r="B46" s="31"/>
      <c r="C46" s="4"/>
      <c r="D46" s="5"/>
      <c r="E46" s="6"/>
      <c r="F46" s="6"/>
      <c r="H46" s="31"/>
      <c r="I46" s="4"/>
      <c r="J46" s="5"/>
      <c r="K46" s="6"/>
      <c r="L46" s="6"/>
    </row>
    <row r="47" spans="2:12" x14ac:dyDescent="0.45">
      <c r="B47" s="31"/>
      <c r="C47" s="4"/>
      <c r="D47" s="5"/>
      <c r="E47" s="6"/>
      <c r="F47" s="6"/>
      <c r="H47" s="31"/>
      <c r="I47" s="4"/>
      <c r="J47" s="5"/>
      <c r="K47" s="6"/>
      <c r="L47" s="6"/>
    </row>
    <row r="48" spans="2:12" x14ac:dyDescent="0.45">
      <c r="B48" s="31"/>
      <c r="C48" s="4"/>
      <c r="D48" s="5"/>
      <c r="E48" s="6"/>
      <c r="F48" s="6"/>
      <c r="H48" s="31"/>
      <c r="I48" s="4"/>
      <c r="J48" s="5"/>
      <c r="K48" s="6"/>
      <c r="L48" s="6"/>
    </row>
    <row r="49" spans="2:12" x14ac:dyDescent="0.45">
      <c r="B49" s="31"/>
      <c r="C49" s="4" t="s">
        <v>2</v>
      </c>
      <c r="D49" s="8"/>
      <c r="E49" s="6">
        <f>SUBTOTAL(9,Tableau4461626455461702327[Revenues])</f>
        <v>0</v>
      </c>
      <c r="F49" s="6">
        <f>SUBTOTAL(9,Tableau4461626455461702327[Expenses])</f>
        <v>0</v>
      </c>
      <c r="H49" s="31"/>
      <c r="I49" s="4" t="s">
        <v>2</v>
      </c>
      <c r="J49" s="8"/>
      <c r="K49" s="6">
        <f>SUBTOTAL(9,Tableau4461626455461702428[Revenues])</f>
        <v>0</v>
      </c>
      <c r="L49" s="6">
        <f>SUBTOTAL(9,Tableau4461626455461702428[Expenses])</f>
        <v>0</v>
      </c>
    </row>
    <row r="51" spans="2:12" x14ac:dyDescent="0.45">
      <c r="E51" s="16"/>
      <c r="K51" s="16"/>
    </row>
    <row r="52" spans="2:12" ht="18" customHeight="1" x14ac:dyDescent="0.45">
      <c r="B52" s="32" t="s">
        <v>36</v>
      </c>
      <c r="C52" s="3" t="s">
        <v>21</v>
      </c>
      <c r="D52" s="3" t="s">
        <v>1</v>
      </c>
      <c r="E52" s="3" t="s">
        <v>22</v>
      </c>
      <c r="F52" s="3" t="s">
        <v>23</v>
      </c>
      <c r="H52" s="33"/>
      <c r="I52" s="23"/>
      <c r="J52" s="23"/>
      <c r="K52" s="23"/>
      <c r="L52" s="23"/>
    </row>
    <row r="53" spans="2:12" x14ac:dyDescent="0.45">
      <c r="B53" s="31"/>
      <c r="C53" s="4"/>
      <c r="D53" s="5"/>
      <c r="E53" s="7"/>
      <c r="F53" s="7"/>
      <c r="H53" s="31"/>
      <c r="I53" s="20"/>
      <c r="J53" s="24"/>
      <c r="K53" s="25"/>
      <c r="L53" s="25"/>
    </row>
    <row r="54" spans="2:12" x14ac:dyDescent="0.45">
      <c r="B54" s="31"/>
      <c r="C54" s="4"/>
      <c r="D54" s="5"/>
      <c r="E54" s="6"/>
      <c r="F54" s="6"/>
      <c r="H54" s="31"/>
      <c r="I54" s="20"/>
      <c r="J54" s="24"/>
      <c r="K54" s="22"/>
      <c r="L54" s="22"/>
    </row>
    <row r="55" spans="2:12" x14ac:dyDescent="0.45">
      <c r="B55" s="31"/>
      <c r="C55" s="4"/>
      <c r="D55" s="5"/>
      <c r="E55" s="6"/>
      <c r="F55" s="6"/>
      <c r="H55" s="31"/>
      <c r="I55" s="20"/>
      <c r="J55" s="24"/>
      <c r="K55" s="22"/>
      <c r="L55" s="22"/>
    </row>
    <row r="56" spans="2:12" x14ac:dyDescent="0.45">
      <c r="B56" s="31"/>
      <c r="C56" s="4"/>
      <c r="D56" s="5"/>
      <c r="E56" s="6"/>
      <c r="F56" s="6"/>
      <c r="H56" s="31"/>
      <c r="I56" s="20"/>
      <c r="J56" s="24"/>
      <c r="K56" s="22"/>
      <c r="L56" s="22"/>
    </row>
    <row r="57" spans="2:12" x14ac:dyDescent="0.45">
      <c r="B57" s="31"/>
      <c r="C57" s="4"/>
      <c r="D57" s="5"/>
      <c r="E57" s="6"/>
      <c r="F57" s="6"/>
      <c r="H57" s="31"/>
      <c r="I57" s="20"/>
      <c r="J57" s="24"/>
      <c r="K57" s="22"/>
      <c r="L57" s="22"/>
    </row>
    <row r="58" spans="2:12" x14ac:dyDescent="0.45">
      <c r="B58" s="31"/>
      <c r="C58" s="4"/>
      <c r="D58" s="5"/>
      <c r="E58" s="6"/>
      <c r="F58" s="6"/>
      <c r="H58" s="31"/>
      <c r="I58" s="20"/>
      <c r="J58" s="24"/>
      <c r="K58" s="22"/>
      <c r="L58" s="22"/>
    </row>
    <row r="59" spans="2:12" x14ac:dyDescent="0.45">
      <c r="B59" s="31"/>
      <c r="C59" s="4"/>
      <c r="D59" s="5"/>
      <c r="E59" s="6"/>
      <c r="F59" s="6"/>
      <c r="H59" s="31"/>
      <c r="I59" s="20"/>
      <c r="J59" s="24"/>
      <c r="K59" s="22"/>
      <c r="L59" s="22"/>
    </row>
    <row r="60" spans="2:12" x14ac:dyDescent="0.45">
      <c r="B60" s="31"/>
      <c r="C60" s="4"/>
      <c r="D60" s="5"/>
      <c r="E60" s="6"/>
      <c r="F60" s="6"/>
      <c r="H60" s="31"/>
      <c r="I60" s="20"/>
      <c r="J60" s="24"/>
      <c r="K60" s="22"/>
      <c r="L60" s="22"/>
    </row>
    <row r="61" spans="2:12" x14ac:dyDescent="0.45">
      <c r="B61" s="31"/>
      <c r="C61" s="4" t="s">
        <v>2</v>
      </c>
      <c r="D61" s="8"/>
      <c r="E61" s="6">
        <f>SUBTOTAL(9,Tableau4461626455461702529[Revenues])</f>
        <v>0</v>
      </c>
      <c r="F61" s="6">
        <f>SUBTOTAL(9,Tableau4461626455461702529[Expenses])</f>
        <v>0</v>
      </c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H16:H25"/>
    <mergeCell ref="B52:B61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3"/>
  <sheetViews>
    <sheetView zoomScale="66" workbookViewId="0">
      <selection activeCell="C2" sqref="C2:F2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46</v>
      </c>
      <c r="D2" s="31"/>
      <c r="E2" s="31"/>
      <c r="F2" s="31"/>
      <c r="G2" s="1"/>
      <c r="H2" s="2"/>
      <c r="I2" s="19" t="s">
        <v>0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37</v>
      </c>
      <c r="C4" s="3" t="s">
        <v>21</v>
      </c>
      <c r="D4" s="3" t="s">
        <v>1</v>
      </c>
      <c r="E4" s="3" t="s">
        <v>22</v>
      </c>
      <c r="F4" s="3" t="s">
        <v>23</v>
      </c>
      <c r="G4" s="1"/>
      <c r="H4" s="32" t="s">
        <v>38</v>
      </c>
      <c r="I4" s="3" t="s">
        <v>21</v>
      </c>
      <c r="J4" s="3" t="s">
        <v>1</v>
      </c>
      <c r="K4" s="3" t="s">
        <v>22</v>
      </c>
      <c r="L4" s="3" t="s">
        <v>23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2</v>
      </c>
      <c r="D13" s="8"/>
      <c r="E13" s="6">
        <f>SUBTOTAL(9,Tableau41323425158672251[Revenues])</f>
        <v>0</v>
      </c>
      <c r="F13" s="6">
        <f>SUBTOTAL(9,Tableau41323425158672251[Expenses])</f>
        <v>0</v>
      </c>
      <c r="G13" s="1"/>
      <c r="H13" s="31"/>
      <c r="I13" s="4" t="s">
        <v>2</v>
      </c>
      <c r="J13" s="8"/>
      <c r="K13" s="6">
        <f>SUBTOTAL(9,Tableau446162645546170143259[Revenues])</f>
        <v>0</v>
      </c>
      <c r="L13" s="6">
        <f>SUBTOTAL(9,Tableau446162645546170143259[Expenses])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2" t="s">
        <v>18</v>
      </c>
      <c r="C16" s="3" t="s">
        <v>21</v>
      </c>
      <c r="D16" s="3" t="s">
        <v>1</v>
      </c>
      <c r="E16" s="3" t="s">
        <v>22</v>
      </c>
      <c r="F16" s="3" t="s">
        <v>23</v>
      </c>
      <c r="G16" s="1"/>
      <c r="H16" s="32" t="s">
        <v>39</v>
      </c>
      <c r="I16" s="3" t="s">
        <v>21</v>
      </c>
      <c r="J16" s="3" t="s">
        <v>1</v>
      </c>
      <c r="K16" s="3" t="s">
        <v>22</v>
      </c>
      <c r="L16" s="3" t="s">
        <v>23</v>
      </c>
    </row>
    <row r="17" spans="1:12" x14ac:dyDescent="0.45">
      <c r="A17" s="1"/>
      <c r="B17" s="31"/>
      <c r="C17" s="4"/>
      <c r="D17" s="5"/>
      <c r="E17" s="7"/>
      <c r="F17" s="7"/>
      <c r="G17" s="1"/>
      <c r="H17" s="31"/>
      <c r="I17" s="4"/>
      <c r="J17" s="5"/>
      <c r="K17" s="7"/>
      <c r="L17" s="7"/>
    </row>
    <row r="18" spans="1:12" x14ac:dyDescent="0.45">
      <c r="A18" s="1"/>
      <c r="B18" s="31"/>
      <c r="C18" s="4"/>
      <c r="D18" s="5"/>
      <c r="E18" s="6"/>
      <c r="F18" s="6"/>
      <c r="G18" s="1"/>
      <c r="H18" s="31"/>
      <c r="I18" s="4"/>
      <c r="J18" s="5"/>
      <c r="K18" s="6"/>
      <c r="L18" s="6"/>
    </row>
    <row r="19" spans="1:12" x14ac:dyDescent="0.45">
      <c r="A19" s="1"/>
      <c r="B19" s="31"/>
      <c r="C19" s="4"/>
      <c r="D19" s="5"/>
      <c r="E19" s="6"/>
      <c r="F19" s="6"/>
      <c r="G19" s="1"/>
      <c r="H19" s="31"/>
      <c r="I19" s="4"/>
      <c r="J19" s="5"/>
      <c r="K19" s="6"/>
      <c r="L19" s="6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4"/>
      <c r="J20" s="5"/>
      <c r="K20" s="6"/>
      <c r="L20" s="6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4"/>
      <c r="J21" s="5"/>
      <c r="K21" s="6"/>
      <c r="L21" s="6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4"/>
      <c r="J22" s="5"/>
      <c r="K22" s="6"/>
      <c r="L22" s="6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4"/>
      <c r="J23" s="5"/>
      <c r="K23" s="6"/>
      <c r="L23" s="6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4"/>
      <c r="J24" s="5"/>
      <c r="K24" s="6"/>
      <c r="L24" s="6"/>
    </row>
    <row r="25" spans="1:12" x14ac:dyDescent="0.45">
      <c r="A25" s="1"/>
      <c r="B25" s="31"/>
      <c r="C25" s="4" t="s">
        <v>2</v>
      </c>
      <c r="D25" s="8"/>
      <c r="E25" s="6">
        <f>SUBTOTAL(9,Tableau4461626455461702852[Revenues])</f>
        <v>0</v>
      </c>
      <c r="F25" s="6">
        <f>SUBTOTAL(9,Tableau4461626455461702852[Expenses])</f>
        <v>0</v>
      </c>
      <c r="G25" s="1"/>
      <c r="H25" s="31"/>
      <c r="I25" s="4" t="s">
        <v>2</v>
      </c>
      <c r="J25" s="8"/>
      <c r="K25" s="6">
        <f>SUBTOTAL(9,Tableau446162645546170202453[Revenues])</f>
        <v>0</v>
      </c>
      <c r="L25" s="6">
        <f>SUBTOTAL(9,Tableau446162645546170202453[Expenses])</f>
        <v>0</v>
      </c>
    </row>
    <row r="28" spans="1:12" ht="18" customHeight="1" x14ac:dyDescent="0.45">
      <c r="B28" s="32" t="s">
        <v>40</v>
      </c>
      <c r="C28" s="3" t="s">
        <v>21</v>
      </c>
      <c r="D28" s="3" t="s">
        <v>1</v>
      </c>
      <c r="E28" s="3" t="s">
        <v>22</v>
      </c>
      <c r="F28" s="3" t="s">
        <v>23</v>
      </c>
      <c r="H28" s="32" t="s">
        <v>20</v>
      </c>
      <c r="I28" s="3" t="s">
        <v>21</v>
      </c>
      <c r="J28" s="3" t="s">
        <v>1</v>
      </c>
      <c r="K28" s="3" t="s">
        <v>22</v>
      </c>
      <c r="L28" s="3" t="s">
        <v>23</v>
      </c>
    </row>
    <row r="29" spans="1:12" x14ac:dyDescent="0.45">
      <c r="B29" s="31"/>
      <c r="C29" s="4"/>
      <c r="D29" s="5"/>
      <c r="E29" s="7"/>
      <c r="F29" s="7"/>
      <c r="H29" s="31"/>
      <c r="I29" s="4"/>
      <c r="J29" s="5"/>
      <c r="K29" s="7"/>
      <c r="L29" s="7"/>
    </row>
    <row r="30" spans="1:12" x14ac:dyDescent="0.45">
      <c r="B30" s="31"/>
      <c r="C30" s="4"/>
      <c r="D30" s="5"/>
      <c r="E30" s="6"/>
      <c r="F30" s="6"/>
      <c r="H30" s="31"/>
      <c r="I30" s="4"/>
      <c r="J30" s="5"/>
      <c r="K30" s="6"/>
      <c r="L30" s="6"/>
    </row>
    <row r="31" spans="1:12" x14ac:dyDescent="0.45">
      <c r="B31" s="31"/>
      <c r="C31" s="4"/>
      <c r="D31" s="5"/>
      <c r="E31" s="6"/>
      <c r="F31" s="6"/>
      <c r="H31" s="31"/>
      <c r="I31" s="4"/>
      <c r="J31" s="5"/>
      <c r="K31" s="6"/>
      <c r="L31" s="6"/>
    </row>
    <row r="32" spans="1:12" x14ac:dyDescent="0.45">
      <c r="B32" s="31"/>
      <c r="C32" s="4"/>
      <c r="D32" s="5"/>
      <c r="E32" s="6"/>
      <c r="F32" s="6"/>
      <c r="H32" s="31"/>
      <c r="I32" s="4"/>
      <c r="J32" s="5"/>
      <c r="K32" s="6"/>
      <c r="L32" s="6"/>
    </row>
    <row r="33" spans="2:12" x14ac:dyDescent="0.45">
      <c r="B33" s="31"/>
      <c r="C33" s="4"/>
      <c r="D33" s="5"/>
      <c r="E33" s="6"/>
      <c r="F33" s="6"/>
      <c r="H33" s="31"/>
      <c r="I33" s="4"/>
      <c r="J33" s="5"/>
      <c r="K33" s="6"/>
      <c r="L33" s="6"/>
    </row>
    <row r="34" spans="2:12" x14ac:dyDescent="0.45">
      <c r="B34" s="31"/>
      <c r="C34" s="4"/>
      <c r="D34" s="5"/>
      <c r="E34" s="6"/>
      <c r="F34" s="6"/>
      <c r="H34" s="31"/>
      <c r="I34" s="4"/>
      <c r="J34" s="5"/>
      <c r="K34" s="6"/>
      <c r="L34" s="6"/>
    </row>
    <row r="35" spans="2:12" x14ac:dyDescent="0.45">
      <c r="B35" s="31"/>
      <c r="C35" s="4"/>
      <c r="D35" s="5"/>
      <c r="E35" s="6"/>
      <c r="F35" s="6"/>
      <c r="H35" s="31"/>
      <c r="I35" s="4"/>
      <c r="J35" s="5"/>
      <c r="K35" s="6"/>
      <c r="L35" s="6"/>
    </row>
    <row r="36" spans="2:12" x14ac:dyDescent="0.45">
      <c r="B36" s="31"/>
      <c r="C36" s="4"/>
      <c r="D36" s="5"/>
      <c r="E36" s="6"/>
      <c r="F36" s="6"/>
      <c r="H36" s="31"/>
      <c r="I36" s="4"/>
      <c r="J36" s="5"/>
      <c r="K36" s="6"/>
      <c r="L36" s="6"/>
    </row>
    <row r="37" spans="2:12" x14ac:dyDescent="0.45">
      <c r="B37" s="31"/>
      <c r="C37" s="4" t="s">
        <v>2</v>
      </c>
      <c r="D37" s="8"/>
      <c r="E37" s="6">
        <f>SUBTOTAL(9,Tableau446162645546170212554[Revenues])</f>
        <v>0</v>
      </c>
      <c r="F37" s="6">
        <f>SUBTOTAL(9,Tableau446162645546170212554[Expenses])</f>
        <v>0</v>
      </c>
      <c r="H37" s="31"/>
      <c r="I37" s="4" t="s">
        <v>2</v>
      </c>
      <c r="J37" s="8"/>
      <c r="K37" s="6">
        <f>SUBTOTAL(9,Tableau446162645546170222655[Revenues])</f>
        <v>0</v>
      </c>
      <c r="L37" s="6">
        <f>SUBTOTAL(9,Tableau446162645546170222655[Expenses])</f>
        <v>0</v>
      </c>
    </row>
    <row r="39" spans="2:12" x14ac:dyDescent="0.45">
      <c r="E39" s="16"/>
    </row>
    <row r="40" spans="2:12" ht="18" customHeight="1" x14ac:dyDescent="0.45">
      <c r="B40" s="33"/>
      <c r="C40" s="23"/>
      <c r="D40" s="23"/>
      <c r="E40" s="23"/>
      <c r="F40" s="23"/>
      <c r="H40" s="33"/>
      <c r="I40" s="23"/>
      <c r="J40" s="23"/>
      <c r="K40" s="23"/>
      <c r="L40" s="23"/>
    </row>
    <row r="41" spans="2:12" x14ac:dyDescent="0.45">
      <c r="B41" s="31"/>
      <c r="C41" s="20"/>
      <c r="D41" s="24"/>
      <c r="E41" s="25"/>
      <c r="F41" s="25"/>
      <c r="H41" s="31"/>
      <c r="I41" s="20"/>
      <c r="J41" s="24"/>
      <c r="K41" s="25"/>
      <c r="L41" s="25"/>
    </row>
    <row r="42" spans="2:12" x14ac:dyDescent="0.45">
      <c r="B42" s="31"/>
      <c r="C42" s="20"/>
      <c r="D42" s="24"/>
      <c r="E42" s="22"/>
      <c r="F42" s="22"/>
      <c r="H42" s="31"/>
      <c r="I42" s="20"/>
      <c r="J42" s="24"/>
      <c r="K42" s="22"/>
      <c r="L42" s="22"/>
    </row>
    <row r="43" spans="2:12" x14ac:dyDescent="0.45">
      <c r="B43" s="31"/>
      <c r="C43" s="20"/>
      <c r="D43" s="24"/>
      <c r="E43" s="22"/>
      <c r="F43" s="22"/>
      <c r="H43" s="31"/>
      <c r="I43" s="20"/>
      <c r="J43" s="24"/>
      <c r="K43" s="22"/>
      <c r="L43" s="22"/>
    </row>
    <row r="44" spans="2:12" x14ac:dyDescent="0.45">
      <c r="B44" s="31"/>
      <c r="C44" s="20"/>
      <c r="D44" s="24"/>
      <c r="E44" s="22"/>
      <c r="F44" s="22"/>
      <c r="H44" s="31"/>
      <c r="I44" s="20"/>
      <c r="J44" s="24"/>
      <c r="K44" s="22"/>
      <c r="L44" s="22"/>
    </row>
    <row r="45" spans="2:12" x14ac:dyDescent="0.45">
      <c r="B45" s="31"/>
      <c r="C45" s="20"/>
      <c r="D45" s="24"/>
      <c r="E45" s="22"/>
      <c r="F45" s="22"/>
      <c r="H45" s="31"/>
      <c r="I45" s="20"/>
      <c r="J45" s="24"/>
      <c r="K45" s="22"/>
      <c r="L45" s="22"/>
    </row>
    <row r="46" spans="2:12" x14ac:dyDescent="0.45">
      <c r="B46" s="31"/>
      <c r="C46" s="20"/>
      <c r="D46" s="24"/>
      <c r="E46" s="22"/>
      <c r="F46" s="22"/>
      <c r="H46" s="31"/>
      <c r="I46" s="20"/>
      <c r="J46" s="24"/>
      <c r="K46" s="22"/>
      <c r="L46" s="22"/>
    </row>
    <row r="47" spans="2:12" x14ac:dyDescent="0.45">
      <c r="B47" s="31"/>
      <c r="C47" s="20"/>
      <c r="D47" s="24"/>
      <c r="E47" s="22"/>
      <c r="F47" s="22"/>
      <c r="H47" s="31"/>
      <c r="I47" s="20"/>
      <c r="J47" s="24"/>
      <c r="K47" s="22"/>
      <c r="L47" s="22"/>
    </row>
    <row r="48" spans="2:12" x14ac:dyDescent="0.45">
      <c r="B48" s="31"/>
      <c r="C48" s="20"/>
      <c r="D48" s="24"/>
      <c r="E48" s="22"/>
      <c r="F48" s="22"/>
      <c r="H48" s="31"/>
      <c r="I48" s="20"/>
      <c r="J48" s="24"/>
      <c r="K48" s="22"/>
      <c r="L48" s="22"/>
    </row>
    <row r="49" spans="2:12" x14ac:dyDescent="0.45">
      <c r="B49" s="31"/>
      <c r="C49" s="20"/>
      <c r="D49" s="21"/>
      <c r="E49" s="22"/>
      <c r="F49" s="22"/>
      <c r="H49" s="31"/>
      <c r="I49" s="20"/>
      <c r="J49" s="21"/>
      <c r="K49" s="22"/>
      <c r="L49" s="22"/>
    </row>
    <row r="51" spans="2:12" x14ac:dyDescent="0.45">
      <c r="E51" s="16"/>
      <c r="K51" s="16"/>
    </row>
    <row r="52" spans="2:12" ht="18" customHeight="1" x14ac:dyDescent="0.45">
      <c r="B52" s="33"/>
      <c r="C52" s="23"/>
      <c r="D52" s="23"/>
      <c r="E52" s="23"/>
      <c r="F52" s="23"/>
      <c r="H52" s="33"/>
      <c r="I52" s="23"/>
      <c r="J52" s="23"/>
      <c r="K52" s="23"/>
      <c r="L52" s="23"/>
    </row>
    <row r="53" spans="2:12" x14ac:dyDescent="0.45">
      <c r="B53" s="31"/>
      <c r="C53" s="20"/>
      <c r="D53" s="24"/>
      <c r="E53" s="25"/>
      <c r="F53" s="25"/>
      <c r="H53" s="31"/>
      <c r="I53" s="20"/>
      <c r="J53" s="24"/>
      <c r="K53" s="25"/>
      <c r="L53" s="25"/>
    </row>
    <row r="54" spans="2:12" x14ac:dyDescent="0.45">
      <c r="B54" s="31"/>
      <c r="C54" s="20"/>
      <c r="D54" s="24"/>
      <c r="E54" s="22"/>
      <c r="F54" s="22"/>
      <c r="H54" s="31"/>
      <c r="I54" s="20"/>
      <c r="J54" s="24"/>
      <c r="K54" s="22"/>
      <c r="L54" s="22"/>
    </row>
    <row r="55" spans="2:12" x14ac:dyDescent="0.45">
      <c r="B55" s="31"/>
      <c r="C55" s="20"/>
      <c r="D55" s="24"/>
      <c r="E55" s="22"/>
      <c r="F55" s="22"/>
      <c r="H55" s="31"/>
      <c r="I55" s="20"/>
      <c r="J55" s="24"/>
      <c r="K55" s="22"/>
      <c r="L55" s="22"/>
    </row>
    <row r="56" spans="2:12" x14ac:dyDescent="0.45">
      <c r="B56" s="31"/>
      <c r="C56" s="20"/>
      <c r="D56" s="24"/>
      <c r="E56" s="22"/>
      <c r="F56" s="22"/>
      <c r="H56" s="31"/>
      <c r="I56" s="20"/>
      <c r="J56" s="24"/>
      <c r="K56" s="22"/>
      <c r="L56" s="22"/>
    </row>
    <row r="57" spans="2:12" x14ac:dyDescent="0.45">
      <c r="B57" s="31"/>
      <c r="C57" s="20"/>
      <c r="D57" s="24"/>
      <c r="E57" s="22"/>
      <c r="F57" s="22"/>
      <c r="H57" s="31"/>
      <c r="I57" s="20"/>
      <c r="J57" s="24"/>
      <c r="K57" s="22"/>
      <c r="L57" s="22"/>
    </row>
    <row r="58" spans="2:12" x14ac:dyDescent="0.45">
      <c r="B58" s="31"/>
      <c r="C58" s="20"/>
      <c r="D58" s="24"/>
      <c r="E58" s="22"/>
      <c r="F58" s="22"/>
      <c r="H58" s="31"/>
      <c r="I58" s="20"/>
      <c r="J58" s="24"/>
      <c r="K58" s="22"/>
      <c r="L58" s="22"/>
    </row>
    <row r="59" spans="2:12" x14ac:dyDescent="0.45">
      <c r="B59" s="31"/>
      <c r="C59" s="20"/>
      <c r="D59" s="24"/>
      <c r="E59" s="22"/>
      <c r="F59" s="22"/>
      <c r="H59" s="31"/>
      <c r="I59" s="20"/>
      <c r="J59" s="24"/>
      <c r="K59" s="22"/>
      <c r="L59" s="22"/>
    </row>
    <row r="60" spans="2:12" x14ac:dyDescent="0.45">
      <c r="B60" s="31"/>
      <c r="C60" s="20"/>
      <c r="D60" s="24"/>
      <c r="E60" s="22"/>
      <c r="F60" s="22"/>
      <c r="H60" s="31"/>
      <c r="I60" s="20"/>
      <c r="J60" s="24"/>
      <c r="K60" s="22"/>
      <c r="L60" s="22"/>
    </row>
    <row r="61" spans="2:12" x14ac:dyDescent="0.45">
      <c r="B61" s="31"/>
      <c r="C61" s="20"/>
      <c r="D61" s="21"/>
      <c r="E61" s="22"/>
      <c r="F61" s="22"/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H16:H25"/>
    <mergeCell ref="B52:B61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3"/>
  <sheetViews>
    <sheetView zoomScale="66" workbookViewId="0">
      <selection activeCell="C4" sqref="C4:F4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47</v>
      </c>
      <c r="D2" s="31"/>
      <c r="E2" s="31"/>
      <c r="F2" s="31"/>
      <c r="G2" s="1"/>
      <c r="H2" s="2"/>
      <c r="I2" s="19" t="s">
        <v>0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43</v>
      </c>
      <c r="C4" s="3" t="s">
        <v>21</v>
      </c>
      <c r="D4" s="3" t="s">
        <v>1</v>
      </c>
      <c r="E4" s="3" t="s">
        <v>22</v>
      </c>
      <c r="F4" s="3" t="s">
        <v>23</v>
      </c>
      <c r="G4" s="1"/>
      <c r="H4" s="32" t="s">
        <v>41</v>
      </c>
      <c r="I4" s="3" t="s">
        <v>21</v>
      </c>
      <c r="J4" s="3" t="s">
        <v>1</v>
      </c>
      <c r="K4" s="3" t="s">
        <v>22</v>
      </c>
      <c r="L4" s="3" t="s">
        <v>23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2</v>
      </c>
      <c r="D13" s="8"/>
      <c r="E13" s="6">
        <f>SUBTOTAL(9,Tableau4132342515867224260[Revenues])</f>
        <v>0</v>
      </c>
      <c r="F13" s="6">
        <f>SUBTOTAL(9,Tableau4132342515867224260[Expenses])</f>
        <v>0</v>
      </c>
      <c r="G13" s="1"/>
      <c r="H13" s="31"/>
      <c r="I13" s="4" t="s">
        <v>2</v>
      </c>
      <c r="J13" s="8"/>
      <c r="K13" s="6">
        <f>SUBTOTAL(9,Tableau44616264554617014325065[Revenues])</f>
        <v>0</v>
      </c>
      <c r="L13" s="6">
        <f>SUBTOTAL(9,Tableau44616264554617014325065[Expenses])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2" t="s">
        <v>42</v>
      </c>
      <c r="C16" s="3" t="s">
        <v>21</v>
      </c>
      <c r="D16" s="3" t="s">
        <v>1</v>
      </c>
      <c r="E16" s="3" t="s">
        <v>22</v>
      </c>
      <c r="F16" s="3" t="s">
        <v>23</v>
      </c>
      <c r="G16" s="1"/>
      <c r="H16" s="32" t="s">
        <v>20</v>
      </c>
      <c r="I16" s="3" t="s">
        <v>21</v>
      </c>
      <c r="J16" s="3" t="s">
        <v>1</v>
      </c>
      <c r="K16" s="3" t="s">
        <v>22</v>
      </c>
      <c r="L16" s="3" t="s">
        <v>23</v>
      </c>
    </row>
    <row r="17" spans="1:12" x14ac:dyDescent="0.45">
      <c r="A17" s="1"/>
      <c r="B17" s="31"/>
      <c r="C17" s="4"/>
      <c r="D17" s="5"/>
      <c r="E17" s="7"/>
      <c r="F17" s="7"/>
      <c r="G17" s="1"/>
      <c r="H17" s="31"/>
      <c r="I17" s="4"/>
      <c r="J17" s="5"/>
      <c r="K17" s="7"/>
      <c r="L17" s="7"/>
    </row>
    <row r="18" spans="1:12" x14ac:dyDescent="0.45">
      <c r="A18" s="1"/>
      <c r="B18" s="31"/>
      <c r="C18" s="4"/>
      <c r="D18" s="5"/>
      <c r="E18" s="6"/>
      <c r="F18" s="6"/>
      <c r="G18" s="1"/>
      <c r="H18" s="31"/>
      <c r="I18" s="4"/>
      <c r="J18" s="5"/>
      <c r="K18" s="6"/>
      <c r="L18" s="6"/>
    </row>
    <row r="19" spans="1:12" x14ac:dyDescent="0.45">
      <c r="A19" s="1"/>
      <c r="B19" s="31"/>
      <c r="C19" s="4"/>
      <c r="D19" s="5"/>
      <c r="E19" s="6"/>
      <c r="F19" s="6"/>
      <c r="G19" s="1"/>
      <c r="H19" s="31"/>
      <c r="I19" s="4"/>
      <c r="J19" s="5"/>
      <c r="K19" s="6"/>
      <c r="L19" s="6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4"/>
      <c r="J20" s="5"/>
      <c r="K20" s="6"/>
      <c r="L20" s="6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4"/>
      <c r="J21" s="5"/>
      <c r="K21" s="6"/>
      <c r="L21" s="6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4"/>
      <c r="J22" s="5"/>
      <c r="K22" s="6"/>
      <c r="L22" s="6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4"/>
      <c r="J23" s="5"/>
      <c r="K23" s="6"/>
      <c r="L23" s="6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4"/>
      <c r="J24" s="5"/>
      <c r="K24" s="6"/>
      <c r="L24" s="6"/>
    </row>
    <row r="25" spans="1:12" x14ac:dyDescent="0.45">
      <c r="A25" s="1"/>
      <c r="B25" s="31"/>
      <c r="C25" s="4" t="s">
        <v>2</v>
      </c>
      <c r="D25" s="8"/>
      <c r="E25" s="6">
        <f>SUBTOTAL(9,Tableau446162645546170284361[Revenues])</f>
        <v>0</v>
      </c>
      <c r="F25" s="6">
        <f>SUBTOTAL(9,Tableau446162645546170284361[Expenses])</f>
        <v>0</v>
      </c>
      <c r="G25" s="1"/>
      <c r="H25" s="31"/>
      <c r="I25" s="4" t="s">
        <v>2</v>
      </c>
      <c r="J25" s="8"/>
      <c r="K25" s="6">
        <f>SUBTOTAL(9,Tableau44616264554617020244462[Revenues])</f>
        <v>0</v>
      </c>
      <c r="L25" s="6">
        <f>SUBTOTAL(9,Tableau44616264554617020244462[Expenses])</f>
        <v>0</v>
      </c>
    </row>
    <row r="28" spans="1:12" ht="18" customHeight="1" x14ac:dyDescent="0.45">
      <c r="B28" s="33"/>
      <c r="C28" s="23"/>
      <c r="D28" s="23"/>
      <c r="E28" s="23"/>
      <c r="F28" s="23"/>
      <c r="H28" s="33"/>
      <c r="I28" s="23"/>
      <c r="J28" s="23"/>
      <c r="K28" s="23"/>
      <c r="L28" s="23"/>
    </row>
    <row r="29" spans="1:12" x14ac:dyDescent="0.45">
      <c r="B29" s="31"/>
      <c r="C29" s="20"/>
      <c r="D29" s="24"/>
      <c r="E29" s="25"/>
      <c r="F29" s="25"/>
      <c r="H29" s="31"/>
      <c r="I29" s="20"/>
      <c r="J29" s="24"/>
      <c r="K29" s="25"/>
      <c r="L29" s="25"/>
    </row>
    <row r="30" spans="1:12" x14ac:dyDescent="0.45">
      <c r="B30" s="31"/>
      <c r="C30" s="20"/>
      <c r="D30" s="24"/>
      <c r="E30" s="22"/>
      <c r="F30" s="22"/>
      <c r="H30" s="31"/>
      <c r="I30" s="20"/>
      <c r="J30" s="24"/>
      <c r="K30" s="22"/>
      <c r="L30" s="22"/>
    </row>
    <row r="31" spans="1:12" x14ac:dyDescent="0.45">
      <c r="B31" s="31"/>
      <c r="C31" s="20"/>
      <c r="D31" s="24"/>
      <c r="E31" s="22"/>
      <c r="F31" s="22"/>
      <c r="H31" s="31"/>
      <c r="I31" s="20"/>
      <c r="J31" s="24"/>
      <c r="K31" s="22"/>
      <c r="L31" s="22"/>
    </row>
    <row r="32" spans="1:12" x14ac:dyDescent="0.45">
      <c r="B32" s="31"/>
      <c r="C32" s="20"/>
      <c r="D32" s="24"/>
      <c r="E32" s="22"/>
      <c r="F32" s="22"/>
      <c r="H32" s="31"/>
      <c r="I32" s="20"/>
      <c r="J32" s="24"/>
      <c r="K32" s="22"/>
      <c r="L32" s="22"/>
    </row>
    <row r="33" spans="2:12" x14ac:dyDescent="0.45">
      <c r="B33" s="31"/>
      <c r="C33" s="20"/>
      <c r="D33" s="24"/>
      <c r="E33" s="22"/>
      <c r="F33" s="22"/>
      <c r="H33" s="31"/>
      <c r="I33" s="20"/>
      <c r="J33" s="24"/>
      <c r="K33" s="22"/>
      <c r="L33" s="22"/>
    </row>
    <row r="34" spans="2:12" x14ac:dyDescent="0.45">
      <c r="B34" s="31"/>
      <c r="C34" s="20"/>
      <c r="D34" s="24"/>
      <c r="E34" s="22"/>
      <c r="F34" s="22"/>
      <c r="H34" s="31"/>
      <c r="I34" s="20"/>
      <c r="J34" s="24"/>
      <c r="K34" s="22"/>
      <c r="L34" s="22"/>
    </row>
    <row r="35" spans="2:12" x14ac:dyDescent="0.45">
      <c r="B35" s="31"/>
      <c r="C35" s="20"/>
      <c r="D35" s="24"/>
      <c r="E35" s="22"/>
      <c r="F35" s="22"/>
      <c r="H35" s="31"/>
      <c r="I35" s="20"/>
      <c r="J35" s="24"/>
      <c r="K35" s="22"/>
      <c r="L35" s="22"/>
    </row>
    <row r="36" spans="2:12" x14ac:dyDescent="0.45">
      <c r="B36" s="31"/>
      <c r="C36" s="20"/>
      <c r="D36" s="24"/>
      <c r="E36" s="22"/>
      <c r="F36" s="22"/>
      <c r="H36" s="31"/>
      <c r="I36" s="20"/>
      <c r="J36" s="24"/>
      <c r="K36" s="22"/>
      <c r="L36" s="22"/>
    </row>
    <row r="37" spans="2:12" x14ac:dyDescent="0.45">
      <c r="B37" s="31"/>
      <c r="C37" s="20"/>
      <c r="D37" s="21"/>
      <c r="E37" s="22"/>
      <c r="F37" s="22"/>
      <c r="H37" s="31"/>
      <c r="I37" s="20"/>
      <c r="J37" s="21"/>
      <c r="K37" s="22"/>
      <c r="L37" s="22"/>
    </row>
    <row r="39" spans="2:12" x14ac:dyDescent="0.45">
      <c r="E39" s="16"/>
    </row>
    <row r="40" spans="2:12" ht="18" customHeight="1" x14ac:dyDescent="0.45">
      <c r="B40" s="33"/>
      <c r="C40" s="23"/>
      <c r="D40" s="23"/>
      <c r="E40" s="23"/>
      <c r="F40" s="23"/>
      <c r="H40" s="33"/>
      <c r="I40" s="23"/>
      <c r="J40" s="23"/>
      <c r="K40" s="23"/>
      <c r="L40" s="23"/>
    </row>
    <row r="41" spans="2:12" x14ac:dyDescent="0.45">
      <c r="B41" s="31"/>
      <c r="C41" s="20"/>
      <c r="D41" s="24"/>
      <c r="E41" s="25"/>
      <c r="F41" s="25"/>
      <c r="H41" s="31"/>
      <c r="I41" s="20"/>
      <c r="J41" s="24"/>
      <c r="K41" s="25"/>
      <c r="L41" s="25"/>
    </row>
    <row r="42" spans="2:12" x14ac:dyDescent="0.45">
      <c r="B42" s="31"/>
      <c r="C42" s="20"/>
      <c r="D42" s="24"/>
      <c r="E42" s="22"/>
      <c r="F42" s="22"/>
      <c r="H42" s="31"/>
      <c r="I42" s="20"/>
      <c r="J42" s="24"/>
      <c r="K42" s="22"/>
      <c r="L42" s="22"/>
    </row>
    <row r="43" spans="2:12" x14ac:dyDescent="0.45">
      <c r="B43" s="31"/>
      <c r="C43" s="20"/>
      <c r="D43" s="24"/>
      <c r="E43" s="22"/>
      <c r="F43" s="22"/>
      <c r="H43" s="31"/>
      <c r="I43" s="20"/>
      <c r="J43" s="24"/>
      <c r="K43" s="22"/>
      <c r="L43" s="22"/>
    </row>
    <row r="44" spans="2:12" x14ac:dyDescent="0.45">
      <c r="B44" s="31"/>
      <c r="C44" s="20"/>
      <c r="D44" s="24"/>
      <c r="E44" s="22"/>
      <c r="F44" s="22"/>
      <c r="H44" s="31"/>
      <c r="I44" s="20"/>
      <c r="J44" s="24"/>
      <c r="K44" s="22"/>
      <c r="L44" s="22"/>
    </row>
    <row r="45" spans="2:12" x14ac:dyDescent="0.45">
      <c r="B45" s="31"/>
      <c r="C45" s="20"/>
      <c r="D45" s="24"/>
      <c r="E45" s="22"/>
      <c r="F45" s="22"/>
      <c r="H45" s="31"/>
      <c r="I45" s="20"/>
      <c r="J45" s="24"/>
      <c r="K45" s="22"/>
      <c r="L45" s="22"/>
    </row>
    <row r="46" spans="2:12" x14ac:dyDescent="0.45">
      <c r="B46" s="31"/>
      <c r="C46" s="20"/>
      <c r="D46" s="24"/>
      <c r="E46" s="22"/>
      <c r="F46" s="22"/>
      <c r="H46" s="31"/>
      <c r="I46" s="20"/>
      <c r="J46" s="24"/>
      <c r="K46" s="22"/>
      <c r="L46" s="22"/>
    </row>
    <row r="47" spans="2:12" x14ac:dyDescent="0.45">
      <c r="B47" s="31"/>
      <c r="C47" s="20"/>
      <c r="D47" s="24"/>
      <c r="E47" s="22"/>
      <c r="F47" s="22"/>
      <c r="H47" s="31"/>
      <c r="I47" s="20"/>
      <c r="J47" s="24"/>
      <c r="K47" s="22"/>
      <c r="L47" s="22"/>
    </row>
    <row r="48" spans="2:12" x14ac:dyDescent="0.45">
      <c r="B48" s="31"/>
      <c r="C48" s="20"/>
      <c r="D48" s="24"/>
      <c r="E48" s="22"/>
      <c r="F48" s="22"/>
      <c r="H48" s="31"/>
      <c r="I48" s="20"/>
      <c r="J48" s="24"/>
      <c r="K48" s="22"/>
      <c r="L48" s="22"/>
    </row>
    <row r="49" spans="2:12" x14ac:dyDescent="0.45">
      <c r="B49" s="31"/>
      <c r="C49" s="20"/>
      <c r="D49" s="21"/>
      <c r="E49" s="22"/>
      <c r="F49" s="22"/>
      <c r="H49" s="31"/>
      <c r="I49" s="20"/>
      <c r="J49" s="21"/>
      <c r="K49" s="22"/>
      <c r="L49" s="22"/>
    </row>
    <row r="51" spans="2:12" x14ac:dyDescent="0.45">
      <c r="E51" s="16"/>
      <c r="K51" s="16"/>
    </row>
    <row r="52" spans="2:12" ht="18" customHeight="1" x14ac:dyDescent="0.45">
      <c r="B52" s="33"/>
      <c r="C52" s="23"/>
      <c r="D52" s="23"/>
      <c r="E52" s="23"/>
      <c r="F52" s="23"/>
      <c r="H52" s="33"/>
      <c r="I52" s="23"/>
      <c r="J52" s="23"/>
      <c r="K52" s="23"/>
      <c r="L52" s="23"/>
    </row>
    <row r="53" spans="2:12" x14ac:dyDescent="0.45">
      <c r="B53" s="31"/>
      <c r="C53" s="20"/>
      <c r="D53" s="24"/>
      <c r="E53" s="25"/>
      <c r="F53" s="25"/>
      <c r="H53" s="31"/>
      <c r="I53" s="20"/>
      <c r="J53" s="24"/>
      <c r="K53" s="25"/>
      <c r="L53" s="25"/>
    </row>
    <row r="54" spans="2:12" x14ac:dyDescent="0.45">
      <c r="B54" s="31"/>
      <c r="C54" s="20"/>
      <c r="D54" s="24"/>
      <c r="E54" s="22"/>
      <c r="F54" s="22"/>
      <c r="H54" s="31"/>
      <c r="I54" s="20"/>
      <c r="J54" s="24"/>
      <c r="K54" s="22"/>
      <c r="L54" s="22"/>
    </row>
    <row r="55" spans="2:12" x14ac:dyDescent="0.45">
      <c r="B55" s="31"/>
      <c r="C55" s="20"/>
      <c r="D55" s="24"/>
      <c r="E55" s="22"/>
      <c r="F55" s="22"/>
      <c r="H55" s="31"/>
      <c r="I55" s="20"/>
      <c r="J55" s="24"/>
      <c r="K55" s="22"/>
      <c r="L55" s="22"/>
    </row>
    <row r="56" spans="2:12" x14ac:dyDescent="0.45">
      <c r="B56" s="31"/>
      <c r="C56" s="20"/>
      <c r="D56" s="24"/>
      <c r="E56" s="22"/>
      <c r="F56" s="22"/>
      <c r="H56" s="31"/>
      <c r="I56" s="20"/>
      <c r="J56" s="24"/>
      <c r="K56" s="22"/>
      <c r="L56" s="22"/>
    </row>
    <row r="57" spans="2:12" x14ac:dyDescent="0.45">
      <c r="B57" s="31"/>
      <c r="C57" s="20"/>
      <c r="D57" s="24"/>
      <c r="E57" s="22"/>
      <c r="F57" s="22"/>
      <c r="H57" s="31"/>
      <c r="I57" s="20"/>
      <c r="J57" s="24"/>
      <c r="K57" s="22"/>
      <c r="L57" s="22"/>
    </row>
    <row r="58" spans="2:12" x14ac:dyDescent="0.45">
      <c r="B58" s="31"/>
      <c r="C58" s="20"/>
      <c r="D58" s="24"/>
      <c r="E58" s="22"/>
      <c r="F58" s="22"/>
      <c r="H58" s="31"/>
      <c r="I58" s="20"/>
      <c r="J58" s="24"/>
      <c r="K58" s="22"/>
      <c r="L58" s="22"/>
    </row>
    <row r="59" spans="2:12" x14ac:dyDescent="0.45">
      <c r="B59" s="31"/>
      <c r="C59" s="20"/>
      <c r="D59" s="24"/>
      <c r="E59" s="22"/>
      <c r="F59" s="22"/>
      <c r="H59" s="31"/>
      <c r="I59" s="20"/>
      <c r="J59" s="24"/>
      <c r="K59" s="22"/>
      <c r="L59" s="22"/>
    </row>
    <row r="60" spans="2:12" x14ac:dyDescent="0.45">
      <c r="B60" s="31"/>
      <c r="C60" s="20"/>
      <c r="D60" s="24"/>
      <c r="E60" s="22"/>
      <c r="F60" s="22"/>
      <c r="H60" s="31"/>
      <c r="I60" s="20"/>
      <c r="J60" s="24"/>
      <c r="K60" s="22"/>
      <c r="L60" s="22"/>
    </row>
    <row r="61" spans="2:12" x14ac:dyDescent="0.45">
      <c r="B61" s="31"/>
      <c r="C61" s="20"/>
      <c r="D61" s="21"/>
      <c r="E61" s="22"/>
      <c r="F61" s="22"/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H16:H25"/>
    <mergeCell ref="B52:B61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3"/>
  <sheetViews>
    <sheetView zoomScale="66" workbookViewId="0">
      <selection activeCell="C2" sqref="C2:F2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49</v>
      </c>
      <c r="D2" s="31"/>
      <c r="E2" s="31"/>
      <c r="F2" s="31"/>
      <c r="G2" s="1"/>
      <c r="H2" s="2"/>
      <c r="I2" s="19" t="s">
        <v>0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48</v>
      </c>
      <c r="C4" s="3" t="s">
        <v>21</v>
      </c>
      <c r="D4" s="3" t="s">
        <v>1</v>
      </c>
      <c r="E4" s="3" t="s">
        <v>22</v>
      </c>
      <c r="F4" s="3" t="s">
        <v>23</v>
      </c>
      <c r="G4" s="1"/>
      <c r="H4" s="32" t="s">
        <v>20</v>
      </c>
      <c r="I4" s="3" t="s">
        <v>21</v>
      </c>
      <c r="J4" s="3" t="s">
        <v>1</v>
      </c>
      <c r="K4" s="3" t="s">
        <v>22</v>
      </c>
      <c r="L4" s="3" t="s">
        <v>23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2</v>
      </c>
      <c r="D13" s="8"/>
      <c r="E13" s="6">
        <f>SUBTOTAL(9,Tableau4132342515867224266[Revenues])</f>
        <v>0</v>
      </c>
      <c r="F13" s="6">
        <f>SUBTOTAL(9,Tableau4132342515867224266[Expenses])</f>
        <v>0</v>
      </c>
      <c r="G13" s="1"/>
      <c r="H13" s="31"/>
      <c r="I13" s="4" t="s">
        <v>2</v>
      </c>
      <c r="J13" s="8"/>
      <c r="K13" s="6">
        <f>SUBTOTAL(9,Tableau44616264554617014325071[Revenues])</f>
        <v>0</v>
      </c>
      <c r="L13" s="6">
        <f>SUBTOTAL(9,Tableau44616264554617014325071[Expenses])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3"/>
      <c r="C16" s="23"/>
      <c r="D16" s="23"/>
      <c r="E16" s="23"/>
      <c r="F16" s="23"/>
      <c r="G16" s="29"/>
      <c r="H16" s="33"/>
      <c r="I16" s="23"/>
      <c r="J16" s="23"/>
      <c r="K16" s="23"/>
      <c r="L16" s="23"/>
    </row>
    <row r="17" spans="1:12" x14ac:dyDescent="0.45">
      <c r="A17" s="1"/>
      <c r="B17" s="31"/>
      <c r="C17" s="20"/>
      <c r="D17" s="24"/>
      <c r="E17" s="25"/>
      <c r="F17" s="25"/>
      <c r="G17" s="29"/>
      <c r="H17" s="31"/>
      <c r="I17" s="20"/>
      <c r="J17" s="24"/>
      <c r="K17" s="25"/>
      <c r="L17" s="25"/>
    </row>
    <row r="18" spans="1:12" x14ac:dyDescent="0.45">
      <c r="A18" s="1"/>
      <c r="B18" s="31"/>
      <c r="C18" s="20"/>
      <c r="D18" s="24"/>
      <c r="E18" s="22"/>
      <c r="F18" s="22"/>
      <c r="G18" s="29"/>
      <c r="H18" s="31"/>
      <c r="I18" s="20"/>
      <c r="J18" s="24"/>
      <c r="K18" s="22"/>
      <c r="L18" s="22"/>
    </row>
    <row r="19" spans="1:12" x14ac:dyDescent="0.45">
      <c r="A19" s="1"/>
      <c r="B19" s="31"/>
      <c r="C19" s="20"/>
      <c r="D19" s="24"/>
      <c r="E19" s="22"/>
      <c r="F19" s="22"/>
      <c r="G19" s="29"/>
      <c r="H19" s="31"/>
      <c r="I19" s="20"/>
      <c r="J19" s="24"/>
      <c r="K19" s="22"/>
      <c r="L19" s="22"/>
    </row>
    <row r="20" spans="1:12" x14ac:dyDescent="0.45">
      <c r="A20" s="1"/>
      <c r="B20" s="31"/>
      <c r="C20" s="20"/>
      <c r="D20" s="24"/>
      <c r="E20" s="22"/>
      <c r="F20" s="22"/>
      <c r="G20" s="29"/>
      <c r="H20" s="31"/>
      <c r="I20" s="20"/>
      <c r="J20" s="24"/>
      <c r="K20" s="22"/>
      <c r="L20" s="22"/>
    </row>
    <row r="21" spans="1:12" x14ac:dyDescent="0.45">
      <c r="A21" s="1"/>
      <c r="B21" s="31"/>
      <c r="C21" s="20"/>
      <c r="D21" s="24"/>
      <c r="E21" s="22"/>
      <c r="F21" s="22"/>
      <c r="G21" s="29"/>
      <c r="H21" s="31"/>
      <c r="I21" s="20"/>
      <c r="J21" s="24"/>
      <c r="K21" s="22"/>
      <c r="L21" s="22"/>
    </row>
    <row r="22" spans="1:12" x14ac:dyDescent="0.45">
      <c r="A22" s="1"/>
      <c r="B22" s="31"/>
      <c r="C22" s="20"/>
      <c r="D22" s="24"/>
      <c r="E22" s="22"/>
      <c r="F22" s="22"/>
      <c r="G22" s="29"/>
      <c r="H22" s="31"/>
      <c r="I22" s="20"/>
      <c r="J22" s="24"/>
      <c r="K22" s="22"/>
      <c r="L22" s="22"/>
    </row>
    <row r="23" spans="1:12" x14ac:dyDescent="0.45">
      <c r="A23" s="1"/>
      <c r="B23" s="31"/>
      <c r="C23" s="20"/>
      <c r="D23" s="24"/>
      <c r="E23" s="22"/>
      <c r="F23" s="22"/>
      <c r="G23" s="29"/>
      <c r="H23" s="31"/>
      <c r="I23" s="20"/>
      <c r="J23" s="24"/>
      <c r="K23" s="22"/>
      <c r="L23" s="22"/>
    </row>
    <row r="24" spans="1:12" x14ac:dyDescent="0.45">
      <c r="A24" s="1"/>
      <c r="B24" s="31"/>
      <c r="C24" s="20"/>
      <c r="D24" s="24"/>
      <c r="E24" s="22"/>
      <c r="F24" s="22"/>
      <c r="G24" s="29"/>
      <c r="H24" s="31"/>
      <c r="I24" s="20"/>
      <c r="J24" s="24"/>
      <c r="K24" s="22"/>
      <c r="L24" s="22"/>
    </row>
    <row r="25" spans="1:12" x14ac:dyDescent="0.45">
      <c r="A25" s="1"/>
      <c r="B25" s="31"/>
      <c r="C25" s="20"/>
      <c r="D25" s="21"/>
      <c r="E25" s="22"/>
      <c r="F25" s="22"/>
      <c r="G25" s="29"/>
      <c r="H25" s="31"/>
      <c r="I25" s="20"/>
      <c r="J25" s="21"/>
      <c r="K25" s="22"/>
      <c r="L25" s="22"/>
    </row>
    <row r="28" spans="1:12" ht="18" customHeight="1" x14ac:dyDescent="0.45">
      <c r="B28" s="33"/>
      <c r="C28" s="23"/>
      <c r="D28" s="23"/>
      <c r="E28" s="23"/>
      <c r="F28" s="23"/>
      <c r="H28" s="33"/>
      <c r="I28" s="23"/>
      <c r="J28" s="23"/>
      <c r="K28" s="23"/>
      <c r="L28" s="23"/>
    </row>
    <row r="29" spans="1:12" x14ac:dyDescent="0.45">
      <c r="B29" s="31"/>
      <c r="C29" s="20"/>
      <c r="D29" s="24"/>
      <c r="E29" s="25"/>
      <c r="F29" s="25"/>
      <c r="H29" s="31"/>
      <c r="I29" s="20"/>
      <c r="J29" s="24"/>
      <c r="K29" s="25"/>
      <c r="L29" s="25"/>
    </row>
    <row r="30" spans="1:12" x14ac:dyDescent="0.45">
      <c r="B30" s="31"/>
      <c r="C30" s="20"/>
      <c r="D30" s="24"/>
      <c r="E30" s="22"/>
      <c r="F30" s="22"/>
      <c r="H30" s="31"/>
      <c r="I30" s="20"/>
      <c r="J30" s="24"/>
      <c r="K30" s="22"/>
      <c r="L30" s="22"/>
    </row>
    <row r="31" spans="1:12" x14ac:dyDescent="0.45">
      <c r="B31" s="31"/>
      <c r="C31" s="20"/>
      <c r="D31" s="24"/>
      <c r="E31" s="22"/>
      <c r="F31" s="22"/>
      <c r="H31" s="31"/>
      <c r="I31" s="20"/>
      <c r="J31" s="24"/>
      <c r="K31" s="22"/>
      <c r="L31" s="22"/>
    </row>
    <row r="32" spans="1:12" x14ac:dyDescent="0.45">
      <c r="B32" s="31"/>
      <c r="C32" s="20"/>
      <c r="D32" s="24"/>
      <c r="E32" s="22"/>
      <c r="F32" s="22"/>
      <c r="H32" s="31"/>
      <c r="I32" s="20"/>
      <c r="J32" s="24"/>
      <c r="K32" s="22"/>
      <c r="L32" s="22"/>
    </row>
    <row r="33" spans="2:12" x14ac:dyDescent="0.45">
      <c r="B33" s="31"/>
      <c r="C33" s="20"/>
      <c r="D33" s="24"/>
      <c r="E33" s="22"/>
      <c r="F33" s="22"/>
      <c r="H33" s="31"/>
      <c r="I33" s="20"/>
      <c r="J33" s="24"/>
      <c r="K33" s="22"/>
      <c r="L33" s="22"/>
    </row>
    <row r="34" spans="2:12" x14ac:dyDescent="0.45">
      <c r="B34" s="31"/>
      <c r="C34" s="20"/>
      <c r="D34" s="24"/>
      <c r="E34" s="22"/>
      <c r="F34" s="22"/>
      <c r="H34" s="31"/>
      <c r="I34" s="20"/>
      <c r="J34" s="24"/>
      <c r="K34" s="22"/>
      <c r="L34" s="22"/>
    </row>
    <row r="35" spans="2:12" x14ac:dyDescent="0.45">
      <c r="B35" s="31"/>
      <c r="C35" s="20"/>
      <c r="D35" s="24"/>
      <c r="E35" s="22"/>
      <c r="F35" s="22"/>
      <c r="H35" s="31"/>
      <c r="I35" s="20"/>
      <c r="J35" s="24"/>
      <c r="K35" s="22"/>
      <c r="L35" s="22"/>
    </row>
    <row r="36" spans="2:12" x14ac:dyDescent="0.45">
      <c r="B36" s="31"/>
      <c r="C36" s="20"/>
      <c r="D36" s="24"/>
      <c r="E36" s="22"/>
      <c r="F36" s="22"/>
      <c r="H36" s="31"/>
      <c r="I36" s="20"/>
      <c r="J36" s="24"/>
      <c r="K36" s="22"/>
      <c r="L36" s="22"/>
    </row>
    <row r="37" spans="2:12" x14ac:dyDescent="0.45">
      <c r="B37" s="31"/>
      <c r="C37" s="20"/>
      <c r="D37" s="21"/>
      <c r="E37" s="22"/>
      <c r="F37" s="22"/>
      <c r="H37" s="31"/>
      <c r="I37" s="20"/>
      <c r="J37" s="21"/>
      <c r="K37" s="22"/>
      <c r="L37" s="22"/>
    </row>
    <row r="39" spans="2:12" x14ac:dyDescent="0.45">
      <c r="E39" s="16"/>
    </row>
    <row r="40" spans="2:12" ht="18" customHeight="1" x14ac:dyDescent="0.45">
      <c r="B40" s="33"/>
      <c r="C40" s="23"/>
      <c r="D40" s="23"/>
      <c r="E40" s="23"/>
      <c r="F40" s="23"/>
      <c r="H40" s="33"/>
      <c r="I40" s="23"/>
      <c r="J40" s="23"/>
      <c r="K40" s="23"/>
      <c r="L40" s="23"/>
    </row>
    <row r="41" spans="2:12" x14ac:dyDescent="0.45">
      <c r="B41" s="31"/>
      <c r="C41" s="20"/>
      <c r="D41" s="24"/>
      <c r="E41" s="25"/>
      <c r="F41" s="25"/>
      <c r="H41" s="31"/>
      <c r="I41" s="20"/>
      <c r="J41" s="24"/>
      <c r="K41" s="25"/>
      <c r="L41" s="25"/>
    </row>
    <row r="42" spans="2:12" x14ac:dyDescent="0.45">
      <c r="B42" s="31"/>
      <c r="C42" s="20"/>
      <c r="D42" s="24"/>
      <c r="E42" s="22"/>
      <c r="F42" s="22"/>
      <c r="H42" s="31"/>
      <c r="I42" s="20"/>
      <c r="J42" s="24"/>
      <c r="K42" s="22"/>
      <c r="L42" s="22"/>
    </row>
    <row r="43" spans="2:12" x14ac:dyDescent="0.45">
      <c r="B43" s="31"/>
      <c r="C43" s="20"/>
      <c r="D43" s="24"/>
      <c r="E43" s="22"/>
      <c r="F43" s="22"/>
      <c r="H43" s="31"/>
      <c r="I43" s="20"/>
      <c r="J43" s="24"/>
      <c r="K43" s="22"/>
      <c r="L43" s="22"/>
    </row>
    <row r="44" spans="2:12" x14ac:dyDescent="0.45">
      <c r="B44" s="31"/>
      <c r="C44" s="20"/>
      <c r="D44" s="24"/>
      <c r="E44" s="22"/>
      <c r="F44" s="22"/>
      <c r="H44" s="31"/>
      <c r="I44" s="20"/>
      <c r="J44" s="24"/>
      <c r="K44" s="22"/>
      <c r="L44" s="22"/>
    </row>
    <row r="45" spans="2:12" x14ac:dyDescent="0.45">
      <c r="B45" s="31"/>
      <c r="C45" s="20"/>
      <c r="D45" s="24"/>
      <c r="E45" s="22"/>
      <c r="F45" s="22"/>
      <c r="H45" s="31"/>
      <c r="I45" s="20"/>
      <c r="J45" s="24"/>
      <c r="K45" s="22"/>
      <c r="L45" s="22"/>
    </row>
    <row r="46" spans="2:12" x14ac:dyDescent="0.45">
      <c r="B46" s="31"/>
      <c r="C46" s="20"/>
      <c r="D46" s="24"/>
      <c r="E46" s="22"/>
      <c r="F46" s="22"/>
      <c r="H46" s="31"/>
      <c r="I46" s="20"/>
      <c r="J46" s="24"/>
      <c r="K46" s="22"/>
      <c r="L46" s="22"/>
    </row>
    <row r="47" spans="2:12" x14ac:dyDescent="0.45">
      <c r="B47" s="31"/>
      <c r="C47" s="20"/>
      <c r="D47" s="24"/>
      <c r="E47" s="22"/>
      <c r="F47" s="22"/>
      <c r="H47" s="31"/>
      <c r="I47" s="20"/>
      <c r="J47" s="24"/>
      <c r="K47" s="22"/>
      <c r="L47" s="22"/>
    </row>
    <row r="48" spans="2:12" x14ac:dyDescent="0.45">
      <c r="B48" s="31"/>
      <c r="C48" s="20"/>
      <c r="D48" s="24"/>
      <c r="E48" s="22"/>
      <c r="F48" s="22"/>
      <c r="H48" s="31"/>
      <c r="I48" s="20"/>
      <c r="J48" s="24"/>
      <c r="K48" s="22"/>
      <c r="L48" s="22"/>
    </row>
    <row r="49" spans="2:12" x14ac:dyDescent="0.45">
      <c r="B49" s="31"/>
      <c r="C49" s="20"/>
      <c r="D49" s="21"/>
      <c r="E49" s="22"/>
      <c r="F49" s="22"/>
      <c r="H49" s="31"/>
      <c r="I49" s="20"/>
      <c r="J49" s="21"/>
      <c r="K49" s="22"/>
      <c r="L49" s="22"/>
    </row>
    <row r="51" spans="2:12" x14ac:dyDescent="0.45">
      <c r="E51" s="16"/>
      <c r="K51" s="16"/>
    </row>
    <row r="52" spans="2:12" ht="18" customHeight="1" x14ac:dyDescent="0.45">
      <c r="B52" s="33"/>
      <c r="C52" s="23"/>
      <c r="D52" s="23"/>
      <c r="E52" s="23"/>
      <c r="F52" s="23"/>
      <c r="H52" s="33"/>
      <c r="I52" s="23"/>
      <c r="J52" s="23"/>
      <c r="K52" s="23"/>
      <c r="L52" s="23"/>
    </row>
    <row r="53" spans="2:12" x14ac:dyDescent="0.45">
      <c r="B53" s="31"/>
      <c r="C53" s="20"/>
      <c r="D53" s="24"/>
      <c r="E53" s="25"/>
      <c r="F53" s="25"/>
      <c r="H53" s="31"/>
      <c r="I53" s="20"/>
      <c r="J53" s="24"/>
      <c r="K53" s="25"/>
      <c r="L53" s="25"/>
    </row>
    <row r="54" spans="2:12" x14ac:dyDescent="0.45">
      <c r="B54" s="31"/>
      <c r="C54" s="20"/>
      <c r="D54" s="24"/>
      <c r="E54" s="22"/>
      <c r="F54" s="22"/>
      <c r="H54" s="31"/>
      <c r="I54" s="20"/>
      <c r="J54" s="24"/>
      <c r="K54" s="22"/>
      <c r="L54" s="22"/>
    </row>
    <row r="55" spans="2:12" x14ac:dyDescent="0.45">
      <c r="B55" s="31"/>
      <c r="C55" s="20"/>
      <c r="D55" s="24"/>
      <c r="E55" s="22"/>
      <c r="F55" s="22"/>
      <c r="H55" s="31"/>
      <c r="I55" s="20"/>
      <c r="J55" s="24"/>
      <c r="K55" s="22"/>
      <c r="L55" s="22"/>
    </row>
    <row r="56" spans="2:12" x14ac:dyDescent="0.45">
      <c r="B56" s="31"/>
      <c r="C56" s="20"/>
      <c r="D56" s="24"/>
      <c r="E56" s="22"/>
      <c r="F56" s="22"/>
      <c r="H56" s="31"/>
      <c r="I56" s="20"/>
      <c r="J56" s="24"/>
      <c r="K56" s="22"/>
      <c r="L56" s="22"/>
    </row>
    <row r="57" spans="2:12" x14ac:dyDescent="0.45">
      <c r="B57" s="31"/>
      <c r="C57" s="20"/>
      <c r="D57" s="24"/>
      <c r="E57" s="22"/>
      <c r="F57" s="22"/>
      <c r="H57" s="31"/>
      <c r="I57" s="20"/>
      <c r="J57" s="24"/>
      <c r="K57" s="22"/>
      <c r="L57" s="22"/>
    </row>
    <row r="58" spans="2:12" x14ac:dyDescent="0.45">
      <c r="B58" s="31"/>
      <c r="C58" s="20"/>
      <c r="D58" s="24"/>
      <c r="E58" s="22"/>
      <c r="F58" s="22"/>
      <c r="H58" s="31"/>
      <c r="I58" s="20"/>
      <c r="J58" s="24"/>
      <c r="K58" s="22"/>
      <c r="L58" s="22"/>
    </row>
    <row r="59" spans="2:12" x14ac:dyDescent="0.45">
      <c r="B59" s="31"/>
      <c r="C59" s="20"/>
      <c r="D59" s="24"/>
      <c r="E59" s="22"/>
      <c r="F59" s="22"/>
      <c r="H59" s="31"/>
      <c r="I59" s="20"/>
      <c r="J59" s="24"/>
      <c r="K59" s="22"/>
      <c r="L59" s="22"/>
    </row>
    <row r="60" spans="2:12" x14ac:dyDescent="0.45">
      <c r="B60" s="31"/>
      <c r="C60" s="20"/>
      <c r="D60" s="24"/>
      <c r="E60" s="22"/>
      <c r="F60" s="22"/>
      <c r="H60" s="31"/>
      <c r="I60" s="20"/>
      <c r="J60" s="24"/>
      <c r="K60" s="22"/>
      <c r="L60" s="22"/>
    </row>
    <row r="61" spans="2:12" x14ac:dyDescent="0.45">
      <c r="B61" s="31"/>
      <c r="C61" s="20"/>
      <c r="D61" s="21"/>
      <c r="E61" s="22"/>
      <c r="F61" s="22"/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H16:H25"/>
    <mergeCell ref="B52:B61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3"/>
  <sheetViews>
    <sheetView zoomScale="66" workbookViewId="0">
      <selection activeCell="C3" sqref="C3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54</v>
      </c>
      <c r="D2" s="31"/>
      <c r="E2" s="31"/>
      <c r="F2" s="31"/>
      <c r="G2" s="1"/>
      <c r="H2" s="2"/>
      <c r="I2" s="19" t="s">
        <v>0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44</v>
      </c>
      <c r="C4" s="3" t="s">
        <v>21</v>
      </c>
      <c r="D4" s="3" t="s">
        <v>1</v>
      </c>
      <c r="E4" s="3" t="s">
        <v>22</v>
      </c>
      <c r="F4" s="3" t="s">
        <v>23</v>
      </c>
      <c r="G4" s="1"/>
      <c r="H4" s="32" t="s">
        <v>20</v>
      </c>
      <c r="I4" s="3" t="s">
        <v>21</v>
      </c>
      <c r="J4" s="3" t="s">
        <v>1</v>
      </c>
      <c r="K4" s="3" t="s">
        <v>22</v>
      </c>
      <c r="L4" s="3" t="s">
        <v>23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2</v>
      </c>
      <c r="D13" s="8"/>
      <c r="E13" s="6">
        <f>SUBTOTAL(9,Tableau41323425158672242607276[Revenues])</f>
        <v>0</v>
      </c>
      <c r="F13" s="6">
        <f>SUBTOTAL(9,Tableau41323425158672242607276[Expenses])</f>
        <v>0</v>
      </c>
      <c r="G13" s="1"/>
      <c r="H13" s="31"/>
      <c r="I13" s="4" t="s">
        <v>2</v>
      </c>
      <c r="J13" s="8"/>
      <c r="K13" s="6">
        <f>SUBTOTAL(9,Tableau446162645546170143250657577[Revenues])</f>
        <v>0</v>
      </c>
      <c r="L13" s="6">
        <f>SUBTOTAL(9,Tableau446162645546170143250657577[Expenses])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3"/>
      <c r="C16" s="23"/>
      <c r="D16" s="23"/>
      <c r="E16" s="23"/>
      <c r="F16" s="23"/>
      <c r="G16" s="29"/>
      <c r="H16" s="33"/>
      <c r="I16" s="23"/>
      <c r="J16" s="23"/>
      <c r="K16" s="23"/>
      <c r="L16" s="23"/>
    </row>
    <row r="17" spans="1:12" x14ac:dyDescent="0.45">
      <c r="A17" s="1"/>
      <c r="B17" s="31"/>
      <c r="C17" s="20"/>
      <c r="D17" s="24"/>
      <c r="E17" s="25"/>
      <c r="F17" s="25"/>
      <c r="G17" s="29"/>
      <c r="H17" s="31"/>
      <c r="I17" s="20"/>
      <c r="J17" s="24"/>
      <c r="K17" s="25"/>
      <c r="L17" s="25"/>
    </row>
    <row r="18" spans="1:12" x14ac:dyDescent="0.45">
      <c r="A18" s="1"/>
      <c r="B18" s="31"/>
      <c r="C18" s="20"/>
      <c r="D18" s="24"/>
      <c r="E18" s="22"/>
      <c r="F18" s="22"/>
      <c r="G18" s="29"/>
      <c r="H18" s="31"/>
      <c r="I18" s="20"/>
      <c r="J18" s="24"/>
      <c r="K18" s="22"/>
      <c r="L18" s="22"/>
    </row>
    <row r="19" spans="1:12" x14ac:dyDescent="0.45">
      <c r="A19" s="1"/>
      <c r="B19" s="31"/>
      <c r="C19" s="20"/>
      <c r="D19" s="24"/>
      <c r="E19" s="22"/>
      <c r="F19" s="22"/>
      <c r="G19" s="29"/>
      <c r="H19" s="31"/>
      <c r="I19" s="20"/>
      <c r="J19" s="24"/>
      <c r="K19" s="22"/>
      <c r="L19" s="22"/>
    </row>
    <row r="20" spans="1:12" x14ac:dyDescent="0.45">
      <c r="A20" s="1"/>
      <c r="B20" s="31"/>
      <c r="C20" s="20"/>
      <c r="D20" s="24"/>
      <c r="E20" s="22"/>
      <c r="F20" s="22"/>
      <c r="G20" s="29"/>
      <c r="H20" s="31"/>
      <c r="I20" s="20"/>
      <c r="J20" s="24"/>
      <c r="K20" s="22"/>
      <c r="L20" s="22"/>
    </row>
    <row r="21" spans="1:12" x14ac:dyDescent="0.45">
      <c r="A21" s="1"/>
      <c r="B21" s="31"/>
      <c r="C21" s="20"/>
      <c r="D21" s="24"/>
      <c r="E21" s="22"/>
      <c r="F21" s="22"/>
      <c r="G21" s="29"/>
      <c r="H21" s="31"/>
      <c r="I21" s="20"/>
      <c r="J21" s="24"/>
      <c r="K21" s="22"/>
      <c r="L21" s="22"/>
    </row>
    <row r="22" spans="1:12" x14ac:dyDescent="0.45">
      <c r="A22" s="1"/>
      <c r="B22" s="31"/>
      <c r="C22" s="20"/>
      <c r="D22" s="24"/>
      <c r="E22" s="22"/>
      <c r="F22" s="22"/>
      <c r="G22" s="29"/>
      <c r="H22" s="31"/>
      <c r="I22" s="20"/>
      <c r="J22" s="24"/>
      <c r="K22" s="22"/>
      <c r="L22" s="22"/>
    </row>
    <row r="23" spans="1:12" x14ac:dyDescent="0.45">
      <c r="A23" s="1"/>
      <c r="B23" s="31"/>
      <c r="C23" s="20"/>
      <c r="D23" s="24"/>
      <c r="E23" s="22"/>
      <c r="F23" s="22"/>
      <c r="G23" s="29"/>
      <c r="H23" s="31"/>
      <c r="I23" s="20"/>
      <c r="J23" s="24"/>
      <c r="K23" s="22"/>
      <c r="L23" s="22"/>
    </row>
    <row r="24" spans="1:12" x14ac:dyDescent="0.45">
      <c r="A24" s="1"/>
      <c r="B24" s="31"/>
      <c r="C24" s="20"/>
      <c r="D24" s="24"/>
      <c r="E24" s="22"/>
      <c r="F24" s="22"/>
      <c r="G24" s="29"/>
      <c r="H24" s="31"/>
      <c r="I24" s="20"/>
      <c r="J24" s="24"/>
      <c r="K24" s="22"/>
      <c r="L24" s="22"/>
    </row>
    <row r="25" spans="1:12" x14ac:dyDescent="0.45">
      <c r="A25" s="1"/>
      <c r="B25" s="31"/>
      <c r="C25" s="20"/>
      <c r="D25" s="21"/>
      <c r="E25" s="22"/>
      <c r="F25" s="22"/>
      <c r="G25" s="29"/>
      <c r="H25" s="31"/>
      <c r="I25" s="20"/>
      <c r="J25" s="21"/>
      <c r="K25" s="22"/>
      <c r="L25" s="22"/>
    </row>
    <row r="28" spans="1:12" ht="18" customHeight="1" x14ac:dyDescent="0.45">
      <c r="B28" s="33"/>
      <c r="C28" s="23"/>
      <c r="D28" s="23"/>
      <c r="E28" s="23"/>
      <c r="F28" s="23"/>
      <c r="H28" s="33"/>
      <c r="I28" s="23"/>
      <c r="J28" s="23"/>
      <c r="K28" s="23"/>
      <c r="L28" s="23"/>
    </row>
    <row r="29" spans="1:12" x14ac:dyDescent="0.45">
      <c r="B29" s="31"/>
      <c r="C29" s="20"/>
      <c r="D29" s="24"/>
      <c r="E29" s="25"/>
      <c r="F29" s="25"/>
      <c r="H29" s="31"/>
      <c r="I29" s="20"/>
      <c r="J29" s="24"/>
      <c r="K29" s="25"/>
      <c r="L29" s="25"/>
    </row>
    <row r="30" spans="1:12" x14ac:dyDescent="0.45">
      <c r="B30" s="31"/>
      <c r="C30" s="20"/>
      <c r="D30" s="24"/>
      <c r="E30" s="22"/>
      <c r="F30" s="22"/>
      <c r="H30" s="31"/>
      <c r="I30" s="20"/>
      <c r="J30" s="24"/>
      <c r="K30" s="22"/>
      <c r="L30" s="22"/>
    </row>
    <row r="31" spans="1:12" x14ac:dyDescent="0.45">
      <c r="B31" s="31"/>
      <c r="C31" s="20"/>
      <c r="D31" s="24"/>
      <c r="E31" s="22"/>
      <c r="F31" s="22"/>
      <c r="H31" s="31"/>
      <c r="I31" s="20"/>
      <c r="J31" s="24"/>
      <c r="K31" s="22"/>
      <c r="L31" s="22"/>
    </row>
    <row r="32" spans="1:12" x14ac:dyDescent="0.45">
      <c r="B32" s="31"/>
      <c r="C32" s="20"/>
      <c r="D32" s="24"/>
      <c r="E32" s="22"/>
      <c r="F32" s="22"/>
      <c r="H32" s="31"/>
      <c r="I32" s="20"/>
      <c r="J32" s="24"/>
      <c r="K32" s="22"/>
      <c r="L32" s="22"/>
    </row>
    <row r="33" spans="2:12" x14ac:dyDescent="0.45">
      <c r="B33" s="31"/>
      <c r="C33" s="20"/>
      <c r="D33" s="24"/>
      <c r="E33" s="22"/>
      <c r="F33" s="22"/>
      <c r="H33" s="31"/>
      <c r="I33" s="20"/>
      <c r="J33" s="24"/>
      <c r="K33" s="22"/>
      <c r="L33" s="22"/>
    </row>
    <row r="34" spans="2:12" x14ac:dyDescent="0.45">
      <c r="B34" s="31"/>
      <c r="C34" s="20"/>
      <c r="D34" s="24"/>
      <c r="E34" s="22"/>
      <c r="F34" s="22"/>
      <c r="H34" s="31"/>
      <c r="I34" s="20"/>
      <c r="J34" s="24"/>
      <c r="K34" s="22"/>
      <c r="L34" s="22"/>
    </row>
    <row r="35" spans="2:12" x14ac:dyDescent="0.45">
      <c r="B35" s="31"/>
      <c r="C35" s="20"/>
      <c r="D35" s="24"/>
      <c r="E35" s="22"/>
      <c r="F35" s="22"/>
      <c r="H35" s="31"/>
      <c r="I35" s="20"/>
      <c r="J35" s="24"/>
      <c r="K35" s="22"/>
      <c r="L35" s="22"/>
    </row>
    <row r="36" spans="2:12" x14ac:dyDescent="0.45">
      <c r="B36" s="31"/>
      <c r="C36" s="20"/>
      <c r="D36" s="24"/>
      <c r="E36" s="22"/>
      <c r="F36" s="22"/>
      <c r="H36" s="31"/>
      <c r="I36" s="20"/>
      <c r="J36" s="24"/>
      <c r="K36" s="22"/>
      <c r="L36" s="22"/>
    </row>
    <row r="37" spans="2:12" x14ac:dyDescent="0.45">
      <c r="B37" s="31"/>
      <c r="C37" s="20"/>
      <c r="D37" s="21"/>
      <c r="E37" s="22"/>
      <c r="F37" s="22"/>
      <c r="H37" s="31"/>
      <c r="I37" s="20"/>
      <c r="J37" s="21"/>
      <c r="K37" s="22"/>
      <c r="L37" s="22"/>
    </row>
    <row r="39" spans="2:12" x14ac:dyDescent="0.45">
      <c r="E39" s="16"/>
    </row>
    <row r="40" spans="2:12" ht="18" customHeight="1" x14ac:dyDescent="0.45">
      <c r="B40" s="33"/>
      <c r="C40" s="23"/>
      <c r="D40" s="23"/>
      <c r="E40" s="23"/>
      <c r="F40" s="23"/>
      <c r="H40" s="33"/>
      <c r="I40" s="23"/>
      <c r="J40" s="23"/>
      <c r="K40" s="23"/>
      <c r="L40" s="23"/>
    </row>
    <row r="41" spans="2:12" x14ac:dyDescent="0.45">
      <c r="B41" s="31"/>
      <c r="C41" s="20"/>
      <c r="D41" s="24"/>
      <c r="E41" s="25"/>
      <c r="F41" s="25"/>
      <c r="H41" s="31"/>
      <c r="I41" s="20"/>
      <c r="J41" s="24"/>
      <c r="K41" s="25"/>
      <c r="L41" s="25"/>
    </row>
    <row r="42" spans="2:12" x14ac:dyDescent="0.45">
      <c r="B42" s="31"/>
      <c r="C42" s="20"/>
      <c r="D42" s="24"/>
      <c r="E42" s="22"/>
      <c r="F42" s="22"/>
      <c r="H42" s="31"/>
      <c r="I42" s="20"/>
      <c r="J42" s="24"/>
      <c r="K42" s="22"/>
      <c r="L42" s="22"/>
    </row>
    <row r="43" spans="2:12" x14ac:dyDescent="0.45">
      <c r="B43" s="31"/>
      <c r="C43" s="20"/>
      <c r="D43" s="24"/>
      <c r="E43" s="22"/>
      <c r="F43" s="22"/>
      <c r="H43" s="31"/>
      <c r="I43" s="20"/>
      <c r="J43" s="24"/>
      <c r="K43" s="22"/>
      <c r="L43" s="22"/>
    </row>
    <row r="44" spans="2:12" x14ac:dyDescent="0.45">
      <c r="B44" s="31"/>
      <c r="C44" s="20"/>
      <c r="D44" s="24"/>
      <c r="E44" s="22"/>
      <c r="F44" s="22"/>
      <c r="H44" s="31"/>
      <c r="I44" s="20"/>
      <c r="J44" s="24"/>
      <c r="K44" s="22"/>
      <c r="L44" s="22"/>
    </row>
    <row r="45" spans="2:12" x14ac:dyDescent="0.45">
      <c r="B45" s="31"/>
      <c r="C45" s="20"/>
      <c r="D45" s="24"/>
      <c r="E45" s="22"/>
      <c r="F45" s="22"/>
      <c r="H45" s="31"/>
      <c r="I45" s="20"/>
      <c r="J45" s="24"/>
      <c r="K45" s="22"/>
      <c r="L45" s="22"/>
    </row>
    <row r="46" spans="2:12" x14ac:dyDescent="0.45">
      <c r="B46" s="31"/>
      <c r="C46" s="20"/>
      <c r="D46" s="24"/>
      <c r="E46" s="22"/>
      <c r="F46" s="22"/>
      <c r="H46" s="31"/>
      <c r="I46" s="20"/>
      <c r="J46" s="24"/>
      <c r="K46" s="22"/>
      <c r="L46" s="22"/>
    </row>
    <row r="47" spans="2:12" x14ac:dyDescent="0.45">
      <c r="B47" s="31"/>
      <c r="C47" s="20"/>
      <c r="D47" s="24"/>
      <c r="E47" s="22"/>
      <c r="F47" s="22"/>
      <c r="H47" s="31"/>
      <c r="I47" s="20"/>
      <c r="J47" s="24"/>
      <c r="K47" s="22"/>
      <c r="L47" s="22"/>
    </row>
    <row r="48" spans="2:12" x14ac:dyDescent="0.45">
      <c r="B48" s="31"/>
      <c r="C48" s="20"/>
      <c r="D48" s="24"/>
      <c r="E48" s="22"/>
      <c r="F48" s="22"/>
      <c r="H48" s="31"/>
      <c r="I48" s="20"/>
      <c r="J48" s="24"/>
      <c r="K48" s="22"/>
      <c r="L48" s="22"/>
    </row>
    <row r="49" spans="2:12" x14ac:dyDescent="0.45">
      <c r="B49" s="31"/>
      <c r="C49" s="20"/>
      <c r="D49" s="21"/>
      <c r="E49" s="22"/>
      <c r="F49" s="22"/>
      <c r="H49" s="31"/>
      <c r="I49" s="20"/>
      <c r="J49" s="21"/>
      <c r="K49" s="22"/>
      <c r="L49" s="22"/>
    </row>
    <row r="51" spans="2:12" x14ac:dyDescent="0.45">
      <c r="E51" s="16"/>
      <c r="K51" s="16"/>
    </row>
    <row r="52" spans="2:12" ht="18" customHeight="1" x14ac:dyDescent="0.45">
      <c r="B52" s="33"/>
      <c r="C52" s="23"/>
      <c r="D52" s="23"/>
      <c r="E52" s="23"/>
      <c r="F52" s="23"/>
      <c r="H52" s="33"/>
      <c r="I52" s="23"/>
      <c r="J52" s="23"/>
      <c r="K52" s="23"/>
      <c r="L52" s="23"/>
    </row>
    <row r="53" spans="2:12" x14ac:dyDescent="0.45">
      <c r="B53" s="31"/>
      <c r="C53" s="20"/>
      <c r="D53" s="24"/>
      <c r="E53" s="25"/>
      <c r="F53" s="25"/>
      <c r="H53" s="31"/>
      <c r="I53" s="20"/>
      <c r="J53" s="24"/>
      <c r="K53" s="25"/>
      <c r="L53" s="25"/>
    </row>
    <row r="54" spans="2:12" x14ac:dyDescent="0.45">
      <c r="B54" s="31"/>
      <c r="C54" s="20"/>
      <c r="D54" s="24"/>
      <c r="E54" s="22"/>
      <c r="F54" s="22"/>
      <c r="H54" s="31"/>
      <c r="I54" s="20"/>
      <c r="J54" s="24"/>
      <c r="K54" s="22"/>
      <c r="L54" s="22"/>
    </row>
    <row r="55" spans="2:12" x14ac:dyDescent="0.45">
      <c r="B55" s="31"/>
      <c r="C55" s="20"/>
      <c r="D55" s="24"/>
      <c r="E55" s="22"/>
      <c r="F55" s="22"/>
      <c r="H55" s="31"/>
      <c r="I55" s="20"/>
      <c r="J55" s="24"/>
      <c r="K55" s="22"/>
      <c r="L55" s="22"/>
    </row>
    <row r="56" spans="2:12" x14ac:dyDescent="0.45">
      <c r="B56" s="31"/>
      <c r="C56" s="20"/>
      <c r="D56" s="24"/>
      <c r="E56" s="22"/>
      <c r="F56" s="22"/>
      <c r="H56" s="31"/>
      <c r="I56" s="20"/>
      <c r="J56" s="24"/>
      <c r="K56" s="22"/>
      <c r="L56" s="22"/>
    </row>
    <row r="57" spans="2:12" x14ac:dyDescent="0.45">
      <c r="B57" s="31"/>
      <c r="C57" s="20"/>
      <c r="D57" s="24"/>
      <c r="E57" s="22"/>
      <c r="F57" s="22"/>
      <c r="H57" s="31"/>
      <c r="I57" s="20"/>
      <c r="J57" s="24"/>
      <c r="K57" s="22"/>
      <c r="L57" s="22"/>
    </row>
    <row r="58" spans="2:12" x14ac:dyDescent="0.45">
      <c r="B58" s="31"/>
      <c r="C58" s="20"/>
      <c r="D58" s="24"/>
      <c r="E58" s="22"/>
      <c r="F58" s="22"/>
      <c r="H58" s="31"/>
      <c r="I58" s="20"/>
      <c r="J58" s="24"/>
      <c r="K58" s="22"/>
      <c r="L58" s="22"/>
    </row>
    <row r="59" spans="2:12" x14ac:dyDescent="0.45">
      <c r="B59" s="31"/>
      <c r="C59" s="20"/>
      <c r="D59" s="24"/>
      <c r="E59" s="22"/>
      <c r="F59" s="22"/>
      <c r="H59" s="31"/>
      <c r="I59" s="20"/>
      <c r="J59" s="24"/>
      <c r="K59" s="22"/>
      <c r="L59" s="22"/>
    </row>
    <row r="60" spans="2:12" x14ac:dyDescent="0.45">
      <c r="B60" s="31"/>
      <c r="C60" s="20"/>
      <c r="D60" s="24"/>
      <c r="E60" s="22"/>
      <c r="F60" s="22"/>
      <c r="H60" s="31"/>
      <c r="I60" s="20"/>
      <c r="J60" s="24"/>
      <c r="K60" s="22"/>
      <c r="L60" s="22"/>
    </row>
    <row r="61" spans="2:12" x14ac:dyDescent="0.45">
      <c r="B61" s="31"/>
      <c r="C61" s="20"/>
      <c r="D61" s="21"/>
      <c r="E61" s="22"/>
      <c r="F61" s="22"/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H16:H25"/>
    <mergeCell ref="B52:B61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3"/>
  <sheetViews>
    <sheetView zoomScale="66" workbookViewId="0">
      <selection activeCell="C2" sqref="C2:F2"/>
    </sheetView>
  </sheetViews>
  <sheetFormatPr baseColWidth="10" defaultColWidth="9.06640625" defaultRowHeight="14.25" x14ac:dyDescent="0.45"/>
  <cols>
    <col min="1" max="1" width="5.9296875" style="15" customWidth="1"/>
    <col min="2" max="2" width="9.06640625" style="15" customWidth="1"/>
    <col min="3" max="3" width="35.6640625" style="15" customWidth="1"/>
    <col min="4" max="4" width="20.53125" style="15" customWidth="1"/>
    <col min="5" max="5" width="20.59765625" style="15" customWidth="1"/>
    <col min="6" max="6" width="20.6640625" style="15" customWidth="1"/>
    <col min="7" max="8" width="9.06640625" style="15" customWidth="1"/>
    <col min="9" max="9" width="35.6640625" style="15" customWidth="1"/>
    <col min="10" max="11" width="20.59765625" style="15" customWidth="1"/>
    <col min="12" max="12" width="20.6640625" style="15" customWidth="1"/>
    <col min="13" max="23" width="9.06640625" style="15" customWidth="1"/>
    <col min="24" max="16384" width="9.06640625" style="15"/>
  </cols>
  <sheetData>
    <row r="1" spans="1:12" ht="28.15" customHeight="1" thickBo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4" customHeight="1" thickBot="1" x14ac:dyDescent="0.5">
      <c r="A2" s="1"/>
      <c r="B2" s="1"/>
      <c r="C2" s="30" t="s">
        <v>53</v>
      </c>
      <c r="D2" s="31"/>
      <c r="E2" s="31"/>
      <c r="F2" s="31"/>
      <c r="G2" s="1"/>
      <c r="H2" s="2"/>
      <c r="I2" s="19" t="s">
        <v>0</v>
      </c>
      <c r="J2" s="18"/>
      <c r="K2" s="17"/>
      <c r="L2" s="17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1"/>
      <c r="B4" s="32" t="s">
        <v>52</v>
      </c>
      <c r="C4" s="3" t="s">
        <v>21</v>
      </c>
      <c r="D4" s="3" t="s">
        <v>1</v>
      </c>
      <c r="E4" s="3" t="s">
        <v>22</v>
      </c>
      <c r="F4" s="3" t="s">
        <v>23</v>
      </c>
      <c r="G4" s="1"/>
      <c r="H4" s="32" t="s">
        <v>51</v>
      </c>
      <c r="I4" s="3" t="s">
        <v>21</v>
      </c>
      <c r="J4" s="3" t="s">
        <v>1</v>
      </c>
      <c r="K4" s="3" t="s">
        <v>22</v>
      </c>
      <c r="L4" s="3" t="s">
        <v>23</v>
      </c>
    </row>
    <row r="5" spans="1:12" x14ac:dyDescent="0.45">
      <c r="A5" s="1"/>
      <c r="B5" s="31"/>
      <c r="C5" s="4"/>
      <c r="D5" s="5"/>
      <c r="E5" s="6"/>
      <c r="F5" s="6"/>
      <c r="G5" s="1"/>
      <c r="H5" s="31"/>
      <c r="I5" s="4"/>
      <c r="J5" s="5"/>
      <c r="K5" s="7"/>
      <c r="L5" s="7"/>
    </row>
    <row r="6" spans="1:12" x14ac:dyDescent="0.45">
      <c r="A6" s="1"/>
      <c r="B6" s="31"/>
      <c r="C6" s="4"/>
      <c r="D6" s="5"/>
      <c r="E6" s="6"/>
      <c r="F6" s="6"/>
      <c r="G6" s="1"/>
      <c r="H6" s="31"/>
      <c r="I6" s="4"/>
      <c r="J6" s="5"/>
      <c r="K6" s="6"/>
      <c r="L6" s="6"/>
    </row>
    <row r="7" spans="1:12" x14ac:dyDescent="0.45">
      <c r="A7" s="1"/>
      <c r="B7" s="31"/>
      <c r="C7" s="4"/>
      <c r="D7" s="5"/>
      <c r="E7" s="6"/>
      <c r="F7" s="6"/>
      <c r="G7" s="1"/>
      <c r="H7" s="31"/>
      <c r="I7" s="4"/>
      <c r="J7" s="5"/>
      <c r="K7" s="6"/>
      <c r="L7" s="6"/>
    </row>
    <row r="8" spans="1:12" x14ac:dyDescent="0.45">
      <c r="A8" s="1"/>
      <c r="B8" s="31"/>
      <c r="C8" s="4"/>
      <c r="D8" s="5"/>
      <c r="E8" s="6"/>
      <c r="F8" s="6"/>
      <c r="G8" s="1"/>
      <c r="H8" s="31"/>
      <c r="I8" s="4"/>
      <c r="J8" s="5"/>
      <c r="K8" s="6"/>
      <c r="L8" s="6"/>
    </row>
    <row r="9" spans="1:12" x14ac:dyDescent="0.45">
      <c r="A9" s="1"/>
      <c r="B9" s="31"/>
      <c r="C9" s="4"/>
      <c r="D9" s="5"/>
      <c r="E9" s="6"/>
      <c r="F9" s="6"/>
      <c r="G9" s="1"/>
      <c r="H9" s="31"/>
      <c r="I9" s="4"/>
      <c r="J9" s="5"/>
      <c r="K9" s="6"/>
      <c r="L9" s="6"/>
    </row>
    <row r="10" spans="1:12" x14ac:dyDescent="0.45">
      <c r="A10" s="1"/>
      <c r="B10" s="31"/>
      <c r="C10" s="4"/>
      <c r="D10" s="5"/>
      <c r="E10" s="6"/>
      <c r="F10" s="6"/>
      <c r="G10" s="1"/>
      <c r="H10" s="31"/>
      <c r="I10" s="4"/>
      <c r="J10" s="5"/>
      <c r="K10" s="6"/>
      <c r="L10" s="6"/>
    </row>
    <row r="11" spans="1:12" x14ac:dyDescent="0.45">
      <c r="A11" s="1"/>
      <c r="B11" s="31"/>
      <c r="C11" s="4"/>
      <c r="D11" s="5"/>
      <c r="E11" s="6"/>
      <c r="F11" s="6"/>
      <c r="G11" s="1"/>
      <c r="H11" s="31"/>
      <c r="I11" s="4"/>
      <c r="J11" s="5"/>
      <c r="K11" s="6"/>
      <c r="L11" s="6"/>
    </row>
    <row r="12" spans="1:12" x14ac:dyDescent="0.45">
      <c r="A12" s="1"/>
      <c r="B12" s="31"/>
      <c r="C12" s="4"/>
      <c r="D12" s="5"/>
      <c r="E12" s="6"/>
      <c r="F12" s="6"/>
      <c r="G12" s="1"/>
      <c r="H12" s="31"/>
      <c r="I12" s="4"/>
      <c r="J12" s="5"/>
      <c r="K12" s="6"/>
      <c r="L12" s="6"/>
    </row>
    <row r="13" spans="1:12" x14ac:dyDescent="0.45">
      <c r="A13" s="1"/>
      <c r="B13" s="31"/>
      <c r="C13" s="4" t="s">
        <v>2</v>
      </c>
      <c r="D13" s="8"/>
      <c r="E13" s="6">
        <f>SUBTOTAL(9,Tableau413234251586722426078[Revenues])</f>
        <v>0</v>
      </c>
      <c r="F13" s="6">
        <f>SUBTOTAL(9,Tableau413234251586722426078[Expenses])</f>
        <v>0</v>
      </c>
      <c r="G13" s="1"/>
      <c r="H13" s="31"/>
      <c r="I13" s="4" t="s">
        <v>2</v>
      </c>
      <c r="J13" s="8"/>
      <c r="K13" s="6">
        <f>SUBTOTAL(9,Tableau4461626455461701432506581[Revenues])</f>
        <v>0</v>
      </c>
      <c r="L13" s="6">
        <f>SUBTOTAL(9,Tableau4461626455461701432506581[Expenses])</f>
        <v>0</v>
      </c>
    </row>
    <row r="14" spans="1:12" ht="14.65" customHeight="1" x14ac:dyDescent="0.45">
      <c r="A14" s="1"/>
      <c r="B14" s="10"/>
      <c r="C14" s="11"/>
      <c r="D14" s="11"/>
      <c r="E14" s="11"/>
      <c r="F14" s="11"/>
      <c r="G14" s="1"/>
      <c r="H14" s="1"/>
      <c r="I14" s="1"/>
      <c r="J14" s="1"/>
      <c r="K14" s="1"/>
      <c r="L14" s="1"/>
    </row>
    <row r="15" spans="1:12" x14ac:dyDescent="0.45">
      <c r="A15" s="1"/>
      <c r="B15" s="10"/>
      <c r="C15" s="12"/>
      <c r="D15" s="13"/>
      <c r="E15" s="9"/>
      <c r="F15" s="14"/>
      <c r="G15" s="1"/>
      <c r="H15" s="1"/>
      <c r="I15" s="1"/>
      <c r="J15" s="1"/>
      <c r="K15" s="1"/>
      <c r="L15" s="1"/>
    </row>
    <row r="16" spans="1:12" ht="18" customHeight="1" x14ac:dyDescent="0.45">
      <c r="A16" s="1"/>
      <c r="B16" s="32" t="s">
        <v>50</v>
      </c>
      <c r="C16" s="3" t="s">
        <v>21</v>
      </c>
      <c r="D16" s="3" t="s">
        <v>1</v>
      </c>
      <c r="E16" s="3" t="s">
        <v>22</v>
      </c>
      <c r="F16" s="3" t="s">
        <v>23</v>
      </c>
      <c r="G16" s="1"/>
      <c r="H16" s="32" t="s">
        <v>20</v>
      </c>
      <c r="I16" s="3" t="s">
        <v>21</v>
      </c>
      <c r="J16" s="3" t="s">
        <v>1</v>
      </c>
      <c r="K16" s="3" t="s">
        <v>22</v>
      </c>
      <c r="L16" s="3" t="s">
        <v>23</v>
      </c>
    </row>
    <row r="17" spans="1:12" x14ac:dyDescent="0.45">
      <c r="A17" s="1"/>
      <c r="B17" s="31"/>
      <c r="C17" s="4"/>
      <c r="D17" s="5"/>
      <c r="E17" s="7"/>
      <c r="F17" s="7"/>
      <c r="G17" s="1"/>
      <c r="H17" s="31"/>
      <c r="I17" s="4"/>
      <c r="J17" s="5"/>
      <c r="K17" s="7"/>
      <c r="L17" s="7"/>
    </row>
    <row r="18" spans="1:12" x14ac:dyDescent="0.45">
      <c r="A18" s="1"/>
      <c r="B18" s="31"/>
      <c r="C18" s="4"/>
      <c r="D18" s="5"/>
      <c r="E18" s="6"/>
      <c r="F18" s="6"/>
      <c r="G18" s="1"/>
      <c r="H18" s="31"/>
      <c r="I18" s="4"/>
      <c r="J18" s="5"/>
      <c r="K18" s="6"/>
      <c r="L18" s="6"/>
    </row>
    <row r="19" spans="1:12" x14ac:dyDescent="0.45">
      <c r="A19" s="1"/>
      <c r="B19" s="31"/>
      <c r="C19" s="4"/>
      <c r="D19" s="5"/>
      <c r="E19" s="6"/>
      <c r="F19" s="6"/>
      <c r="G19" s="1"/>
      <c r="H19" s="31"/>
      <c r="I19" s="4"/>
      <c r="J19" s="5"/>
      <c r="K19" s="6"/>
      <c r="L19" s="6"/>
    </row>
    <row r="20" spans="1:12" x14ac:dyDescent="0.45">
      <c r="A20" s="1"/>
      <c r="B20" s="31"/>
      <c r="C20" s="4"/>
      <c r="D20" s="5"/>
      <c r="E20" s="6"/>
      <c r="F20" s="6"/>
      <c r="G20" s="1"/>
      <c r="H20" s="31"/>
      <c r="I20" s="4"/>
      <c r="J20" s="5"/>
      <c r="K20" s="6"/>
      <c r="L20" s="6"/>
    </row>
    <row r="21" spans="1:12" x14ac:dyDescent="0.45">
      <c r="A21" s="1"/>
      <c r="B21" s="31"/>
      <c r="C21" s="4"/>
      <c r="D21" s="5"/>
      <c r="E21" s="6"/>
      <c r="F21" s="6"/>
      <c r="G21" s="1"/>
      <c r="H21" s="31"/>
      <c r="I21" s="4"/>
      <c r="J21" s="5"/>
      <c r="K21" s="6"/>
      <c r="L21" s="6"/>
    </row>
    <row r="22" spans="1:12" x14ac:dyDescent="0.45">
      <c r="A22" s="1"/>
      <c r="B22" s="31"/>
      <c r="C22" s="4"/>
      <c r="D22" s="5"/>
      <c r="E22" s="6"/>
      <c r="F22" s="6"/>
      <c r="G22" s="1"/>
      <c r="H22" s="31"/>
      <c r="I22" s="4"/>
      <c r="J22" s="5"/>
      <c r="K22" s="6"/>
      <c r="L22" s="6"/>
    </row>
    <row r="23" spans="1:12" x14ac:dyDescent="0.45">
      <c r="A23" s="1"/>
      <c r="B23" s="31"/>
      <c r="C23" s="4"/>
      <c r="D23" s="5"/>
      <c r="E23" s="6"/>
      <c r="F23" s="6"/>
      <c r="G23" s="1"/>
      <c r="H23" s="31"/>
      <c r="I23" s="4"/>
      <c r="J23" s="5"/>
      <c r="K23" s="6"/>
      <c r="L23" s="6"/>
    </row>
    <row r="24" spans="1:12" x14ac:dyDescent="0.45">
      <c r="A24" s="1"/>
      <c r="B24" s="31"/>
      <c r="C24" s="4"/>
      <c r="D24" s="5"/>
      <c r="E24" s="6"/>
      <c r="F24" s="6"/>
      <c r="G24" s="1"/>
      <c r="H24" s="31"/>
      <c r="I24" s="4"/>
      <c r="J24" s="5"/>
      <c r="K24" s="6"/>
      <c r="L24" s="6"/>
    </row>
    <row r="25" spans="1:12" x14ac:dyDescent="0.45">
      <c r="A25" s="1"/>
      <c r="B25" s="31"/>
      <c r="C25" s="4" t="s">
        <v>2</v>
      </c>
      <c r="D25" s="8"/>
      <c r="E25" s="6">
        <f>SUBTOTAL(9,Tableau44616264554617028436179[Revenues])</f>
        <v>0</v>
      </c>
      <c r="F25" s="6">
        <f>SUBTOTAL(9,Tableau44616264554617028436179[Expenses])</f>
        <v>0</v>
      </c>
      <c r="G25" s="1"/>
      <c r="H25" s="31"/>
      <c r="I25" s="4" t="s">
        <v>2</v>
      </c>
      <c r="J25" s="8"/>
      <c r="K25" s="6">
        <f>SUBTOTAL(9,Tableau4461626455461702024446280[Revenues])</f>
        <v>0</v>
      </c>
      <c r="L25" s="6">
        <f>SUBTOTAL(9,Tableau4461626455461702024446280[Expenses])</f>
        <v>0</v>
      </c>
    </row>
    <row r="28" spans="1:12" ht="18" customHeight="1" x14ac:dyDescent="0.45">
      <c r="B28" s="33"/>
      <c r="C28" s="23"/>
      <c r="D28" s="23"/>
      <c r="E28" s="23"/>
      <c r="F28" s="23"/>
      <c r="H28" s="33"/>
      <c r="I28" s="23"/>
      <c r="J28" s="23"/>
      <c r="K28" s="23"/>
      <c r="L28" s="23"/>
    </row>
    <row r="29" spans="1:12" x14ac:dyDescent="0.45">
      <c r="B29" s="31"/>
      <c r="C29" s="20"/>
      <c r="D29" s="24"/>
      <c r="E29" s="25"/>
      <c r="F29" s="25"/>
      <c r="H29" s="31"/>
      <c r="I29" s="20"/>
      <c r="J29" s="24"/>
      <c r="K29" s="25"/>
      <c r="L29" s="25"/>
    </row>
    <row r="30" spans="1:12" x14ac:dyDescent="0.45">
      <c r="B30" s="31"/>
      <c r="C30" s="20"/>
      <c r="D30" s="24"/>
      <c r="E30" s="22"/>
      <c r="F30" s="22"/>
      <c r="H30" s="31"/>
      <c r="I30" s="20"/>
      <c r="J30" s="24"/>
      <c r="K30" s="22"/>
      <c r="L30" s="22"/>
    </row>
    <row r="31" spans="1:12" x14ac:dyDescent="0.45">
      <c r="B31" s="31"/>
      <c r="C31" s="20"/>
      <c r="D31" s="24"/>
      <c r="E31" s="22"/>
      <c r="F31" s="22"/>
      <c r="H31" s="31"/>
      <c r="I31" s="20"/>
      <c r="J31" s="24"/>
      <c r="K31" s="22"/>
      <c r="L31" s="22"/>
    </row>
    <row r="32" spans="1:12" x14ac:dyDescent="0.45">
      <c r="B32" s="31"/>
      <c r="C32" s="20"/>
      <c r="D32" s="24"/>
      <c r="E32" s="22"/>
      <c r="F32" s="22"/>
      <c r="H32" s="31"/>
      <c r="I32" s="20"/>
      <c r="J32" s="24"/>
      <c r="K32" s="22"/>
      <c r="L32" s="22"/>
    </row>
    <row r="33" spans="2:12" x14ac:dyDescent="0.45">
      <c r="B33" s="31"/>
      <c r="C33" s="20"/>
      <c r="D33" s="24"/>
      <c r="E33" s="22"/>
      <c r="F33" s="22"/>
      <c r="H33" s="31"/>
      <c r="I33" s="20"/>
      <c r="J33" s="24"/>
      <c r="K33" s="22"/>
      <c r="L33" s="22"/>
    </row>
    <row r="34" spans="2:12" x14ac:dyDescent="0.45">
      <c r="B34" s="31"/>
      <c r="C34" s="20"/>
      <c r="D34" s="24"/>
      <c r="E34" s="22"/>
      <c r="F34" s="22"/>
      <c r="H34" s="31"/>
      <c r="I34" s="20"/>
      <c r="J34" s="24"/>
      <c r="K34" s="22"/>
      <c r="L34" s="22"/>
    </row>
    <row r="35" spans="2:12" x14ac:dyDescent="0.45">
      <c r="B35" s="31"/>
      <c r="C35" s="20"/>
      <c r="D35" s="24"/>
      <c r="E35" s="22"/>
      <c r="F35" s="22"/>
      <c r="H35" s="31"/>
      <c r="I35" s="20"/>
      <c r="J35" s="24"/>
      <c r="K35" s="22"/>
      <c r="L35" s="22"/>
    </row>
    <row r="36" spans="2:12" x14ac:dyDescent="0.45">
      <c r="B36" s="31"/>
      <c r="C36" s="20"/>
      <c r="D36" s="24"/>
      <c r="E36" s="22"/>
      <c r="F36" s="22"/>
      <c r="H36" s="31"/>
      <c r="I36" s="20"/>
      <c r="J36" s="24"/>
      <c r="K36" s="22"/>
      <c r="L36" s="22"/>
    </row>
    <row r="37" spans="2:12" x14ac:dyDescent="0.45">
      <c r="B37" s="31"/>
      <c r="C37" s="20"/>
      <c r="D37" s="21"/>
      <c r="E37" s="22"/>
      <c r="F37" s="22"/>
      <c r="H37" s="31"/>
      <c r="I37" s="20"/>
      <c r="J37" s="21"/>
      <c r="K37" s="22"/>
      <c r="L37" s="22"/>
    </row>
    <row r="39" spans="2:12" x14ac:dyDescent="0.45">
      <c r="E39" s="16"/>
    </row>
    <row r="40" spans="2:12" ht="18" customHeight="1" x14ac:dyDescent="0.45">
      <c r="B40" s="33"/>
      <c r="C40" s="23"/>
      <c r="D40" s="23"/>
      <c r="E40" s="23"/>
      <c r="F40" s="23"/>
      <c r="H40" s="33"/>
      <c r="I40" s="23"/>
      <c r="J40" s="23"/>
      <c r="K40" s="23"/>
      <c r="L40" s="23"/>
    </row>
    <row r="41" spans="2:12" x14ac:dyDescent="0.45">
      <c r="B41" s="31"/>
      <c r="C41" s="20"/>
      <c r="D41" s="24"/>
      <c r="E41" s="25"/>
      <c r="F41" s="25"/>
      <c r="H41" s="31"/>
      <c r="I41" s="20"/>
      <c r="J41" s="24"/>
      <c r="K41" s="25"/>
      <c r="L41" s="25"/>
    </row>
    <row r="42" spans="2:12" x14ac:dyDescent="0.45">
      <c r="B42" s="31"/>
      <c r="C42" s="20"/>
      <c r="D42" s="24"/>
      <c r="E42" s="22"/>
      <c r="F42" s="22"/>
      <c r="H42" s="31"/>
      <c r="I42" s="20"/>
      <c r="J42" s="24"/>
      <c r="K42" s="22"/>
      <c r="L42" s="22"/>
    </row>
    <row r="43" spans="2:12" x14ac:dyDescent="0.45">
      <c r="B43" s="31"/>
      <c r="C43" s="20"/>
      <c r="D43" s="24"/>
      <c r="E43" s="22"/>
      <c r="F43" s="22"/>
      <c r="H43" s="31"/>
      <c r="I43" s="20"/>
      <c r="J43" s="24"/>
      <c r="K43" s="22"/>
      <c r="L43" s="22"/>
    </row>
    <row r="44" spans="2:12" x14ac:dyDescent="0.45">
      <c r="B44" s="31"/>
      <c r="C44" s="20"/>
      <c r="D44" s="24"/>
      <c r="E44" s="22"/>
      <c r="F44" s="22"/>
      <c r="H44" s="31"/>
      <c r="I44" s="20"/>
      <c r="J44" s="24"/>
      <c r="K44" s="22"/>
      <c r="L44" s="22"/>
    </row>
    <row r="45" spans="2:12" x14ac:dyDescent="0.45">
      <c r="B45" s="31"/>
      <c r="C45" s="20"/>
      <c r="D45" s="24"/>
      <c r="E45" s="22"/>
      <c r="F45" s="22"/>
      <c r="H45" s="31"/>
      <c r="I45" s="20"/>
      <c r="J45" s="24"/>
      <c r="K45" s="22"/>
      <c r="L45" s="22"/>
    </row>
    <row r="46" spans="2:12" x14ac:dyDescent="0.45">
      <c r="B46" s="31"/>
      <c r="C46" s="20"/>
      <c r="D46" s="24"/>
      <c r="E46" s="22"/>
      <c r="F46" s="22"/>
      <c r="H46" s="31"/>
      <c r="I46" s="20"/>
      <c r="J46" s="24"/>
      <c r="K46" s="22"/>
      <c r="L46" s="22"/>
    </row>
    <row r="47" spans="2:12" x14ac:dyDescent="0.45">
      <c r="B47" s="31"/>
      <c r="C47" s="20"/>
      <c r="D47" s="24"/>
      <c r="E47" s="22"/>
      <c r="F47" s="22"/>
      <c r="H47" s="31"/>
      <c r="I47" s="20"/>
      <c r="J47" s="24"/>
      <c r="K47" s="22"/>
      <c r="L47" s="22"/>
    </row>
    <row r="48" spans="2:12" x14ac:dyDescent="0.45">
      <c r="B48" s="31"/>
      <c r="C48" s="20"/>
      <c r="D48" s="24"/>
      <c r="E48" s="22"/>
      <c r="F48" s="22"/>
      <c r="H48" s="31"/>
      <c r="I48" s="20"/>
      <c r="J48" s="24"/>
      <c r="K48" s="22"/>
      <c r="L48" s="22"/>
    </row>
    <row r="49" spans="2:12" x14ac:dyDescent="0.45">
      <c r="B49" s="31"/>
      <c r="C49" s="20"/>
      <c r="D49" s="21"/>
      <c r="E49" s="22"/>
      <c r="F49" s="22"/>
      <c r="H49" s="31"/>
      <c r="I49" s="20"/>
      <c r="J49" s="21"/>
      <c r="K49" s="22"/>
      <c r="L49" s="22"/>
    </row>
    <row r="51" spans="2:12" x14ac:dyDescent="0.45">
      <c r="E51" s="16"/>
      <c r="K51" s="16"/>
    </row>
    <row r="52" spans="2:12" ht="18" customHeight="1" x14ac:dyDescent="0.45">
      <c r="B52" s="33"/>
      <c r="C52" s="23"/>
      <c r="D52" s="23"/>
      <c r="E52" s="23"/>
      <c r="F52" s="23"/>
      <c r="H52" s="33"/>
      <c r="I52" s="23"/>
      <c r="J52" s="23"/>
      <c r="K52" s="23"/>
      <c r="L52" s="23"/>
    </row>
    <row r="53" spans="2:12" x14ac:dyDescent="0.45">
      <c r="B53" s="31"/>
      <c r="C53" s="20"/>
      <c r="D53" s="24"/>
      <c r="E53" s="25"/>
      <c r="F53" s="25"/>
      <c r="H53" s="31"/>
      <c r="I53" s="20"/>
      <c r="J53" s="24"/>
      <c r="K53" s="25"/>
      <c r="L53" s="25"/>
    </row>
    <row r="54" spans="2:12" x14ac:dyDescent="0.45">
      <c r="B54" s="31"/>
      <c r="C54" s="20"/>
      <c r="D54" s="24"/>
      <c r="E54" s="22"/>
      <c r="F54" s="22"/>
      <c r="H54" s="31"/>
      <c r="I54" s="20"/>
      <c r="J54" s="24"/>
      <c r="K54" s="22"/>
      <c r="L54" s="22"/>
    </row>
    <row r="55" spans="2:12" x14ac:dyDescent="0.45">
      <c r="B55" s="31"/>
      <c r="C55" s="20"/>
      <c r="D55" s="24"/>
      <c r="E55" s="22"/>
      <c r="F55" s="22"/>
      <c r="H55" s="31"/>
      <c r="I55" s="20"/>
      <c r="J55" s="24"/>
      <c r="K55" s="22"/>
      <c r="L55" s="22"/>
    </row>
    <row r="56" spans="2:12" x14ac:dyDescent="0.45">
      <c r="B56" s="31"/>
      <c r="C56" s="20"/>
      <c r="D56" s="24"/>
      <c r="E56" s="22"/>
      <c r="F56" s="22"/>
      <c r="H56" s="31"/>
      <c r="I56" s="20"/>
      <c r="J56" s="24"/>
      <c r="K56" s="22"/>
      <c r="L56" s="22"/>
    </row>
    <row r="57" spans="2:12" x14ac:dyDescent="0.45">
      <c r="B57" s="31"/>
      <c r="C57" s="20"/>
      <c r="D57" s="24"/>
      <c r="E57" s="22"/>
      <c r="F57" s="22"/>
      <c r="H57" s="31"/>
      <c r="I57" s="20"/>
      <c r="J57" s="24"/>
      <c r="K57" s="22"/>
      <c r="L57" s="22"/>
    </row>
    <row r="58" spans="2:12" x14ac:dyDescent="0.45">
      <c r="B58" s="31"/>
      <c r="C58" s="20"/>
      <c r="D58" s="24"/>
      <c r="E58" s="22"/>
      <c r="F58" s="22"/>
      <c r="H58" s="31"/>
      <c r="I58" s="20"/>
      <c r="J58" s="24"/>
      <c r="K58" s="22"/>
      <c r="L58" s="22"/>
    </row>
    <row r="59" spans="2:12" x14ac:dyDescent="0.45">
      <c r="B59" s="31"/>
      <c r="C59" s="20"/>
      <c r="D59" s="24"/>
      <c r="E59" s="22"/>
      <c r="F59" s="22"/>
      <c r="H59" s="31"/>
      <c r="I59" s="20"/>
      <c r="J59" s="24"/>
      <c r="K59" s="22"/>
      <c r="L59" s="22"/>
    </row>
    <row r="60" spans="2:12" x14ac:dyDescent="0.45">
      <c r="B60" s="31"/>
      <c r="C60" s="20"/>
      <c r="D60" s="24"/>
      <c r="E60" s="22"/>
      <c r="F60" s="22"/>
      <c r="H60" s="31"/>
      <c r="I60" s="20"/>
      <c r="J60" s="24"/>
      <c r="K60" s="22"/>
      <c r="L60" s="22"/>
    </row>
    <row r="61" spans="2:12" x14ac:dyDescent="0.45">
      <c r="B61" s="31"/>
      <c r="C61" s="20"/>
      <c r="D61" s="21"/>
      <c r="E61" s="22"/>
      <c r="F61" s="22"/>
      <c r="H61" s="31"/>
      <c r="I61" s="20"/>
      <c r="J61" s="21"/>
      <c r="K61" s="22"/>
      <c r="L61" s="22"/>
    </row>
    <row r="64" spans="2:12" ht="18" customHeight="1" x14ac:dyDescent="0.45">
      <c r="B64" s="33"/>
      <c r="C64" s="23"/>
      <c r="D64" s="23"/>
      <c r="E64" s="23"/>
      <c r="F64" s="23"/>
    </row>
    <row r="65" spans="2:6" x14ac:dyDescent="0.45">
      <c r="B65" s="31"/>
      <c r="C65" s="20"/>
      <c r="D65" s="24"/>
      <c r="E65" s="25"/>
      <c r="F65" s="25"/>
    </row>
    <row r="66" spans="2:6" x14ac:dyDescent="0.45">
      <c r="B66" s="31"/>
      <c r="C66" s="20"/>
      <c r="D66" s="24"/>
      <c r="E66" s="22"/>
      <c r="F66" s="22"/>
    </row>
    <row r="67" spans="2:6" x14ac:dyDescent="0.45">
      <c r="B67" s="31"/>
      <c r="C67" s="20"/>
      <c r="D67" s="24"/>
      <c r="E67" s="22"/>
      <c r="F67" s="22"/>
    </row>
    <row r="68" spans="2:6" x14ac:dyDescent="0.45">
      <c r="B68" s="31"/>
      <c r="C68" s="20"/>
      <c r="D68" s="24"/>
      <c r="E68" s="22"/>
      <c r="F68" s="22"/>
    </row>
    <row r="69" spans="2:6" x14ac:dyDescent="0.45">
      <c r="B69" s="31"/>
      <c r="C69" s="20"/>
      <c r="D69" s="24"/>
      <c r="E69" s="22"/>
      <c r="F69" s="22"/>
    </row>
    <row r="70" spans="2:6" x14ac:dyDescent="0.45">
      <c r="B70" s="31"/>
      <c r="C70" s="20"/>
      <c r="D70" s="24"/>
      <c r="E70" s="22"/>
      <c r="F70" s="22"/>
    </row>
    <row r="71" spans="2:6" x14ac:dyDescent="0.45">
      <c r="B71" s="31"/>
      <c r="C71" s="20"/>
      <c r="D71" s="24"/>
      <c r="E71" s="22"/>
      <c r="F71" s="22"/>
    </row>
    <row r="72" spans="2:6" x14ac:dyDescent="0.45">
      <c r="B72" s="31"/>
      <c r="C72" s="20"/>
      <c r="D72" s="24"/>
      <c r="E72" s="22"/>
      <c r="F72" s="22"/>
    </row>
    <row r="73" spans="2:6" x14ac:dyDescent="0.45">
      <c r="B73" s="31"/>
      <c r="C73" s="20"/>
      <c r="D73" s="21"/>
      <c r="E73" s="22"/>
      <c r="F73" s="22"/>
    </row>
  </sheetData>
  <mergeCells count="12">
    <mergeCell ref="B64:B73"/>
    <mergeCell ref="H52:H61"/>
    <mergeCell ref="B16:B25"/>
    <mergeCell ref="B28:B37"/>
    <mergeCell ref="H16:H25"/>
    <mergeCell ref="B52:B61"/>
    <mergeCell ref="C2:F2"/>
    <mergeCell ref="H28:H37"/>
    <mergeCell ref="B4:B13"/>
    <mergeCell ref="B40:B49"/>
    <mergeCell ref="H40:H49"/>
    <mergeCell ref="H4:H13"/>
  </mergeCells>
  <pageMargins left="0.7" right="0.7" top="0.75" bottom="0.75" header="0.3" footer="0.3"/>
  <pageSetup paperSize="9" orientation="portrait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Accomodation</vt:lpstr>
      <vt:lpstr>Transports</vt:lpstr>
      <vt:lpstr>Shopping</vt:lpstr>
      <vt:lpstr>Entertainment</vt:lpstr>
      <vt:lpstr>Health</vt:lpstr>
      <vt:lpstr>Bank</vt:lpstr>
      <vt:lpstr>Savings</vt:lpstr>
      <vt:lpstr>Tax</vt:lpstr>
      <vt:lpstr>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GUILLOUX</cp:lastModifiedBy>
  <dcterms:created xsi:type="dcterms:W3CDTF">2026-04-20T21:49:33Z</dcterms:created>
  <dcterms:modified xsi:type="dcterms:W3CDTF">2026-04-26T00:30:13Z</dcterms:modified>
</cp:coreProperties>
</file>