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kevin\Gestion_budget\Templates\"/>
    </mc:Choice>
  </mc:AlternateContent>
  <xr:revisionPtr revIDLastSave="0" documentId="13_ncr:1_{C91AC4A1-1486-48FC-94CD-91EE8831D06C}" xr6:coauthVersionLast="47" xr6:coauthVersionMax="47" xr10:uidLastSave="{00000000-0000-0000-0000-000000000000}"/>
  <bookViews>
    <workbookView xWindow="-98" yWindow="-98" windowWidth="21795" windowHeight="12975" tabRatio="832" xr2:uid="{00000000-000D-0000-FFFF-FFFF00000000}"/>
  </bookViews>
  <sheets>
    <sheet name="Forecast" sheetId="12" r:id="rId1"/>
    <sheet name="Accomodation" sheetId="1" r:id="rId2"/>
    <sheet name="Transports" sheetId="2" r:id="rId3"/>
    <sheet name="Shopping" sheetId="3" r:id="rId4"/>
    <sheet name="Entertainment" sheetId="4" r:id="rId5"/>
    <sheet name="Health" sheetId="6" r:id="rId6"/>
    <sheet name="Bank" sheetId="7" r:id="rId7"/>
    <sheet name="Savings" sheetId="8" r:id="rId8"/>
    <sheet name="Tax" sheetId="10" r:id="rId9"/>
    <sheet name="Income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0" i="12" l="1"/>
  <c r="H59" i="12"/>
  <c r="D59" i="12"/>
  <c r="H46" i="12"/>
  <c r="D46" i="12"/>
  <c r="H33" i="12"/>
  <c r="D33" i="12"/>
  <c r="H18" i="12"/>
  <c r="D18" i="12"/>
  <c r="K13" i="8"/>
  <c r="L13" i="8"/>
  <c r="L25" i="11"/>
  <c r="K25" i="11"/>
  <c r="F25" i="11"/>
  <c r="E25" i="11"/>
  <c r="L13" i="11"/>
  <c r="K13" i="11"/>
  <c r="F13" i="11"/>
  <c r="E13" i="11"/>
  <c r="L13" i="10"/>
  <c r="K13" i="10"/>
  <c r="F13" i="10"/>
  <c r="E13" i="10"/>
  <c r="L25" i="7"/>
  <c r="K25" i="7"/>
  <c r="F25" i="7"/>
  <c r="E25" i="7"/>
  <c r="L13" i="7"/>
  <c r="K13" i="7"/>
  <c r="F13" i="7"/>
  <c r="E13" i="7"/>
  <c r="L37" i="6"/>
  <c r="K37" i="6"/>
  <c r="F37" i="6"/>
  <c r="E37" i="6"/>
  <c r="L25" i="6"/>
  <c r="K25" i="6"/>
  <c r="F25" i="6"/>
  <c r="E25" i="6"/>
  <c r="L13" i="6"/>
  <c r="K13" i="6"/>
  <c r="F13" i="6"/>
  <c r="E13" i="6"/>
  <c r="F61" i="4"/>
  <c r="E61" i="4"/>
  <c r="L49" i="4"/>
  <c r="K49" i="4"/>
  <c r="F49" i="4"/>
  <c r="E49" i="4"/>
  <c r="L37" i="4"/>
  <c r="K37" i="4"/>
  <c r="F37" i="4"/>
  <c r="E37" i="4"/>
  <c r="L25" i="4"/>
  <c r="K25" i="4"/>
  <c r="F25" i="4"/>
  <c r="E25" i="4"/>
  <c r="L13" i="4"/>
  <c r="K13" i="4"/>
  <c r="F13" i="4"/>
  <c r="E13" i="4"/>
  <c r="F27" i="3"/>
  <c r="E27" i="3"/>
  <c r="F15" i="3"/>
  <c r="E15" i="3"/>
  <c r="L13" i="3"/>
  <c r="K13" i="3"/>
  <c r="F61" i="2"/>
  <c r="E61" i="2"/>
  <c r="L49" i="2"/>
  <c r="K49" i="2"/>
  <c r="F49" i="2"/>
  <c r="E49" i="2"/>
  <c r="L37" i="2"/>
  <c r="K37" i="2"/>
  <c r="F37" i="2"/>
  <c r="E37" i="2"/>
  <c r="L25" i="2"/>
  <c r="K25" i="2"/>
  <c r="F25" i="2"/>
  <c r="E25" i="2"/>
  <c r="L13" i="2"/>
  <c r="K13" i="2"/>
  <c r="F13" i="2"/>
  <c r="E13" i="2"/>
  <c r="F61" i="1"/>
  <c r="E61" i="1"/>
  <c r="L49" i="1"/>
  <c r="K49" i="1"/>
  <c r="F49" i="1"/>
  <c r="E49" i="1"/>
  <c r="L37" i="1"/>
  <c r="K37" i="1"/>
  <c r="F37" i="1"/>
  <c r="E37" i="1"/>
  <c r="L25" i="1"/>
  <c r="K25" i="1"/>
  <c r="F25" i="1"/>
  <c r="E25" i="1"/>
  <c r="L13" i="1"/>
  <c r="K13" i="1"/>
  <c r="F13" i="1"/>
  <c r="E13" i="1"/>
  <c r="F13" i="8"/>
  <c r="E13" i="8"/>
  <c r="H2" i="12" l="1"/>
</calcChain>
</file>

<file path=xl/sharedStrings.xml><?xml version="1.0" encoding="utf-8"?>
<sst xmlns="http://schemas.openxmlformats.org/spreadsheetml/2006/main" count="345" uniqueCount="64">
  <si>
    <t>TOTAL</t>
  </si>
  <si>
    <t>Date</t>
  </si>
  <si>
    <t>Total</t>
  </si>
  <si>
    <t>INTERNET</t>
  </si>
  <si>
    <t>GAZ</t>
  </si>
  <si>
    <t>BUS</t>
  </si>
  <si>
    <t>TRAIN</t>
  </si>
  <si>
    <t>TAXI</t>
  </si>
  <si>
    <t>HYGIENE</t>
  </si>
  <si>
    <t>CULTURE</t>
  </si>
  <si>
    <t>RESTAURANTS</t>
  </si>
  <si>
    <t>MULTIMEDIA</t>
  </si>
  <si>
    <t>Expenses/Revenues details Accomodation April 2026</t>
  </si>
  <si>
    <t>RENT</t>
  </si>
  <si>
    <t>ELECTRICITY</t>
  </si>
  <si>
    <t>WATER</t>
  </si>
  <si>
    <t>PHONE</t>
  </si>
  <si>
    <t>FURNITURES</t>
  </si>
  <si>
    <t>INSURANCE</t>
  </si>
  <si>
    <t>AUTRE+B64:F73</t>
  </si>
  <si>
    <t>OTHER</t>
  </si>
  <si>
    <t>Details</t>
  </si>
  <si>
    <t>Revenues</t>
  </si>
  <si>
    <t>Expenses</t>
  </si>
  <si>
    <t>Expenses/Revenues details Transports April 2026</t>
  </si>
  <si>
    <t>VEHICULE BUY</t>
  </si>
  <si>
    <t>VEHICULE CARE</t>
  </si>
  <si>
    <t>FUEL</t>
  </si>
  <si>
    <t>FLIGHT</t>
  </si>
  <si>
    <t>Expenses/Revenues details Shopping April 2026</t>
  </si>
  <si>
    <t>FOOD</t>
  </si>
  <si>
    <t>SUBSCRIPTION</t>
  </si>
  <si>
    <t>VIDEO GAMES</t>
  </si>
  <si>
    <t>SPORTS</t>
  </si>
  <si>
    <t>PUB</t>
  </si>
  <si>
    <t>NIGHTS</t>
  </si>
  <si>
    <t>OTHERS</t>
  </si>
  <si>
    <t>HOSPITAL</t>
  </si>
  <si>
    <t>HAIRDRESSER</t>
  </si>
  <si>
    <t>DOCTOR</t>
  </si>
  <si>
    <t>MEDICINE</t>
  </si>
  <si>
    <t>LOANS</t>
  </si>
  <si>
    <t>CREDIT LOAN</t>
  </si>
  <si>
    <t>MANAGEMENT</t>
  </si>
  <si>
    <t>TAX</t>
  </si>
  <si>
    <t>Expenses/Revenues details Entertainment April 2026</t>
  </si>
  <si>
    <t>Expenses/Revenues details Health April 2026</t>
  </si>
  <si>
    <t>Expenses/Revenues details Bank April 2026</t>
  </si>
  <si>
    <t>SAVING ACCOUNT</t>
  </si>
  <si>
    <t>Expenses/Revenues details Savings April 2026</t>
  </si>
  <si>
    <t>PRESENTS</t>
  </si>
  <si>
    <t>STATE</t>
  </si>
  <si>
    <t>INCOME</t>
  </si>
  <si>
    <t>Expenses/Revenues details Income April 2026</t>
  </si>
  <si>
    <t>Expenses/Revenues details Tax April 2026</t>
  </si>
  <si>
    <t>TRANSPORTS</t>
  </si>
  <si>
    <t>Forecast</t>
  </si>
  <si>
    <t>ACCOMODATION</t>
  </si>
  <si>
    <t>SHOPPING</t>
  </si>
  <si>
    <t>ENTERTAINMENT</t>
  </si>
  <si>
    <t>HEALTH</t>
  </si>
  <si>
    <t>BANK</t>
  </si>
  <si>
    <t>SAVINGS</t>
  </si>
  <si>
    <t>Sub-Category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</si>
</sst>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* #,##0.00\ &quot;€&quot;_-;\-* #,##0.00\ &quot;€&quot;_-;_-* &quot;-&quot;??\ &quot;€&quot;_-;_-@_-"/>
    <numFmt numFmtId="164" formatCode="_-* #,##0.00\ [$€-40C]_-;\-* #,##0.00\ [$€-40C]_-;_-* &quot;-&quot;??\ [$€-40C]_-;_-@_-"/>
    <numFmt numFmtId="165" formatCode="yyyy\-mm\-dd\ hh:mm:ss"/>
    <numFmt numFmtId="166" formatCode="#,##0.00\ &quot;€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i/>
      <sz val="26"/>
      <color rgb="FF404040"/>
      <name val="Calibri"/>
      <family val="2"/>
    </font>
    <font>
      <b/>
      <sz val="20"/>
      <color rgb="FF000000"/>
      <name val="Calibri"/>
      <family val="2"/>
    </font>
    <font>
      <b/>
      <sz val="24"/>
      <color rgb="FF000000"/>
      <name val="Calibri"/>
      <family val="2"/>
    </font>
    <font>
      <b/>
      <sz val="16"/>
      <color rgb="FFFFFFFF"/>
      <name val="Calibri"/>
      <family val="2"/>
    </font>
    <font>
      <sz val="14"/>
      <color rgb="FF000000"/>
      <name val="Calibri"/>
      <family val="2"/>
    </font>
    <font>
      <b/>
      <sz val="18"/>
      <color theme="1"/>
      <name val="Calibri"/>
      <family val="2"/>
    </font>
    <font>
      <b/>
      <sz val="24"/>
      <color theme="1"/>
      <name val="Calibri"/>
      <family val="2"/>
    </font>
    <font>
      <b/>
      <sz val="18"/>
      <color rgb="FF000000"/>
      <name val="Calibri"/>
      <family val="2"/>
    </font>
    <font>
      <b/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D7D31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/>
  </cellStyleXfs>
  <cellXfs count="53">
    <xf numFmtId="0" fontId="0" fillId="0" borderId="0" xfId="0"/>
    <xf numFmtId="0" fontId="2" fillId="3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3" borderId="0" xfId="0" applyNumberFormat="1" applyFont="1" applyFill="1" applyAlignment="1">
      <alignment vertical="center"/>
    </xf>
    <xf numFmtId="0" fontId="6" fillId="3" borderId="0" xfId="0" applyFont="1" applyFill="1" applyAlignment="1">
      <alignment vertical="center" textRotation="90"/>
    </xf>
    <xf numFmtId="0" fontId="7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14" fontId="2" fillId="3" borderId="0" xfId="0" applyNumberFormat="1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0" fontId="0" fillId="2" borderId="0" xfId="0" applyFill="1"/>
    <xf numFmtId="165" fontId="0" fillId="2" borderId="0" xfId="0" applyNumberFormat="1" applyFill="1"/>
    <xf numFmtId="44" fontId="8" fillId="6" borderId="2" xfId="0" applyNumberFormat="1" applyFont="1" applyFill="1" applyBorder="1" applyAlignment="1">
      <alignment horizontal="right" vertical="center" wrapText="1"/>
    </xf>
    <xf numFmtId="44" fontId="8" fillId="6" borderId="2" xfId="1" applyFont="1" applyFill="1" applyBorder="1" applyAlignment="1">
      <alignment horizontal="right" vertical="center" wrapText="1"/>
    </xf>
    <xf numFmtId="0" fontId="5" fillId="4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164" fontId="2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left" vertical="center"/>
    </xf>
    <xf numFmtId="14" fontId="7" fillId="3" borderId="0" xfId="0" applyNumberFormat="1" applyFont="1" applyFill="1" applyAlignment="1">
      <alignment horizontal="center" vertical="center"/>
    </xf>
    <xf numFmtId="164" fontId="7" fillId="3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vertical="center"/>
    </xf>
    <xf numFmtId="0" fontId="6" fillId="2" borderId="0" xfId="0" applyFont="1" applyFill="1"/>
    <xf numFmtId="0" fontId="6" fillId="7" borderId="0" xfId="0" applyFont="1" applyFill="1" applyAlignment="1">
      <alignment horizontal="center" vertical="center" textRotation="90"/>
    </xf>
    <xf numFmtId="0" fontId="0" fillId="2" borderId="0" xfId="0" applyFill="1"/>
    <xf numFmtId="0" fontId="6" fillId="5" borderId="0" xfId="0" applyFont="1" applyFill="1" applyAlignment="1">
      <alignment horizontal="center" vertical="center" textRotation="90"/>
    </xf>
    <xf numFmtId="0" fontId="3" fillId="4" borderId="0" xfId="0" applyFont="1" applyFill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44" fontId="10" fillId="6" borderId="2" xfId="0" applyNumberFormat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44" fontId="8" fillId="7" borderId="0" xfId="1" applyFont="1" applyFill="1" applyAlignment="1">
      <alignment horizontal="right" vertical="center" wrapText="1"/>
    </xf>
    <xf numFmtId="44" fontId="8" fillId="7" borderId="0" xfId="0" applyNumberFormat="1" applyFont="1" applyFill="1" applyAlignment="1">
      <alignment horizontal="right" vertical="center" wrapText="1"/>
    </xf>
    <xf numFmtId="166" fontId="1" fillId="0" borderId="0" xfId="1" applyNumberFormat="1"/>
    <xf numFmtId="44" fontId="0" fillId="0" borderId="0" xfId="0" applyNumberFormat="1"/>
    <xf numFmtId="44" fontId="1" fillId="2" borderId="0" xfId="0" applyNumberFormat="1" applyFont="1" applyFill="1"/>
    <xf numFmtId="44" fontId="1" fillId="2" borderId="0" xfId="1" applyFill="1"/>
    <xf numFmtId="0" fontId="6" fillId="7" borderId="0" xfId="0" applyFont="1" applyFill="1" applyAlignment="1">
      <alignment vertical="center" textRotation="90"/>
    </xf>
    <xf numFmtId="0" fontId="11" fillId="8" borderId="0" xfId="0" applyFont="1" applyFill="1" applyAlignment="1">
      <alignment horizontal="center" vertical="center" textRotation="90"/>
    </xf>
    <xf numFmtId="44" fontId="1" fillId="0" borderId="0" xfId="0" applyNumberFormat="1" applyFont="1"/>
    <xf numFmtId="0" fontId="0" fillId="2" borderId="0" xfId="0" applyFill="1" applyAlignment="1">
      <alignment wrapText="1"/>
    </xf>
    <xf numFmtId="0" fontId="11" fillId="8" borderId="0" xfId="0" applyFont="1" applyFill="1" applyAlignment="1">
      <alignment horizontal="center" vertical="center" textRotation="90" wrapText="1"/>
    </xf>
    <xf numFmtId="0" fontId="11" fillId="2" borderId="0" xfId="0" applyFont="1" applyFill="1" applyAlignment="1">
      <alignment vertical="center" textRotation="90" wrapText="1"/>
    </xf>
    <xf numFmtId="0" fontId="11" fillId="2" borderId="0" xfId="0" applyFont="1" applyFill="1" applyAlignment="1">
      <alignment horizontal="center" vertical="center" textRotation="90" wrapText="1"/>
    </xf>
    <xf numFmtId="166" fontId="1" fillId="2" borderId="0" xfId="1" applyNumberFormat="1" applyFill="1"/>
    <xf numFmtId="0" fontId="2" fillId="7" borderId="0" xfId="0" applyFont="1" applyFill="1" applyAlignment="1">
      <alignment horizontal="left" vertical="center"/>
    </xf>
  </cellXfs>
  <cellStyles count="2">
    <cellStyle name="Monétaire" xfId="1" builtinId="4"/>
    <cellStyle name="Normal" xfId="0" builtinId="0"/>
  </cellStyles>
  <dxfs count="605">
    <dxf>
      <numFmt numFmtId="34" formatCode="_-* #,##0.00\ &quot;€&quot;_-;\-* #,##0.00\ &quot;€&quot;_-;_-* &quot;-&quot;??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numFmt numFmtId="34" formatCode="_-* #,##0.00\ &quot;€&quot;_-;\-* #,##0.00\ &quot;€&quot;_-;_-* &quot;-&quot;??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numFmt numFmtId="166" formatCode="#,##0.00\ &quot;€&quot;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ED7D31"/>
        </top>
      </border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color rgb="FF000000"/>
      </font>
      <border>
        <left style="thin">
          <color rgb="FFF4B084"/>
        </left>
        <right style="thin">
          <color rgb="FFF4B084"/>
        </right>
        <top style="thin">
          <color rgb="FFF4B084"/>
        </top>
        <bottom style="thin">
          <color rgb="FFF4B084"/>
        </bottom>
        <horizontal style="thin">
          <color rgb="FFF4B084"/>
        </horizontal>
      </border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ED7D31"/>
        </top>
      </border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color rgb="FF000000"/>
      </font>
      <border>
        <left style="thin">
          <color rgb="FFF4B084"/>
        </left>
        <right style="thin">
          <color rgb="FFF4B084"/>
        </right>
        <top style="thin">
          <color rgb="FFF4B084"/>
        </top>
        <bottom style="thin">
          <color rgb="FFF4B084"/>
        </bottom>
        <horizontal style="thin">
          <color rgb="FFF4B084"/>
        </horizontal>
      </border>
    </dxf>
  </dxfs>
  <tableStyles count="2" defaultTableStyle="TableStyleMedium9" defaultPivotStyle="PivotStyleLight16">
    <tableStyle name="TableStyleMedium3 2" pivot="0" count="7" xr9:uid="{00000000-0011-0000-FFFF-FFFF00000000}">
      <tableStyleElement type="wholeTable" dxfId="604"/>
      <tableStyleElement type="headerRow" dxfId="603"/>
      <tableStyleElement type="totalRow" dxfId="602"/>
      <tableStyleElement type="firstColumn" dxfId="601"/>
      <tableStyleElement type="lastColumn" dxfId="600"/>
      <tableStyleElement type="firstRowStripe" dxfId="599"/>
      <tableStyleElement type="firstColumnStripe" dxfId="598"/>
    </tableStyle>
    <tableStyle name="TableStyleMedium3 3" pivot="0" count="7" xr9:uid="{00000000-0011-0000-FFFF-FFFF01000000}">
      <tableStyleElement type="wholeTable" dxfId="597"/>
      <tableStyleElement type="headerRow" dxfId="596"/>
      <tableStyleElement type="totalRow" dxfId="595"/>
      <tableStyleElement type="firstColumn" dxfId="594"/>
      <tableStyleElement type="lastColumn" dxfId="593"/>
      <tableStyleElement type="firstRowStripe" dxfId="592"/>
      <tableStyleElement type="firstColumnStripe" dxfId="59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F89CA56-39C9-47A3-9E64-5734E86FDE5A}" name="Tableau413234251586764" displayName="Tableau413234251586764" ref="C4:D18" totalsRowCount="1" headerRowDxfId="62" dataDxfId="61" totalsRowDxfId="60">
  <autoFilter ref="C4:D17" xr:uid="{6F89CA56-39C9-47A3-9E64-5734E86FDE5A}"/>
  <tableColumns count="2">
    <tableColumn id="1" xr3:uid="{61988A71-251A-40C9-BCBD-609B7E6625A5}" name="Sub-Category" totalsRowLabel="Total" dataDxfId="59" totalsRowDxfId="17"/>
    <tableColumn id="2" xr3:uid="{3ED5B11D-0A8E-42B4-A134-78B72A91CA23}" name="Forecast" totalsRowFunction="custom" dataDxfId="58" totalsRowDxfId="16" dataCellStyle="Monétaire">
      <totalsRowFormula>SUM(Tableau413234251586764[Forecast])</totalsRowFormula>
    </tableColumn>
  </tableColumns>
  <tableStyleInfo name="TableStyleMedium3 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E68666-0777-412D-9982-3408F2BDB4CD}" name="Tableau41323425158676476" displayName="Tableau41323425158676476" ref="G4:H18" totalsRowCount="1" headerRowDxfId="57" dataDxfId="56" totalsRowDxfId="55">
  <autoFilter ref="G4:H17" xr:uid="{ADE68666-0777-412D-9982-3408F2BDB4CD}"/>
  <tableColumns count="2">
    <tableColumn id="1" xr3:uid="{7011929E-0429-4675-A5FA-148D8992ACA5}" name="Sub-Category" totalsRowLabel="Total" dataDxfId="54" totalsRowDxfId="1"/>
    <tableColumn id="2" xr3:uid="{E18E8C88-114D-4AB4-9FDA-AF3CD864C034}" name="Forecast" totalsRowFunction="custom" dataDxfId="53" totalsRowDxfId="0" dataCellStyle="Monétaire">
      <totalsRowFormula>SUM(Tableau41323425158676476[Forecast])</totalsRowFormula>
    </tableColumn>
  </tableColumns>
  <tableStyleInfo name="TableStyleMedium3 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55C2049F-C4FB-4AB9-BCD4-AC27A60A5F9B}" name="Tableau41323425158676477" displayName="Tableau41323425158676477" ref="C21:D33" totalsRowCount="1" headerRowDxfId="52" dataDxfId="51" totalsRowDxfId="50">
  <autoFilter ref="C21:D32" xr:uid="{55C2049F-C4FB-4AB9-BCD4-AC27A60A5F9B}"/>
  <tableColumns count="2">
    <tableColumn id="1" xr3:uid="{D06AA9C8-625A-4D6E-A772-14560BCD550C}" name="Sub-Category" totalsRowLabel="Total" dataDxfId="49" totalsRowDxfId="15"/>
    <tableColumn id="2" xr3:uid="{8E9D5D8C-14A4-4B2B-AC80-FA04887A02E9}" name="Forecast" totalsRowFunction="custom" dataDxfId="48" totalsRowDxfId="14" dataCellStyle="Monétaire">
      <totalsRowFormula>SUM(Tableau41323425158676477[Forecast])</totalsRowFormula>
    </tableColumn>
  </tableColumns>
  <tableStyleInfo name="TableStyleMedium3 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D5B7772C-A018-4D3E-824B-93CC4BE3EFAB}" name="Tableau4132342515867647786" displayName="Tableau4132342515867647786" ref="G21:H33" totalsRowCount="1" headerRowDxfId="47" dataDxfId="46" totalsRowDxfId="45">
  <autoFilter ref="G21:H32" xr:uid="{D5B7772C-A018-4D3E-824B-93CC4BE3EFAB}"/>
  <tableColumns count="2">
    <tableColumn id="1" xr3:uid="{9B5977E0-C56A-43A1-BB93-C1FE974D20F8}" name="Sub-Category" totalsRowLabel="Total" dataDxfId="44" totalsRowDxfId="3"/>
    <tableColumn id="2" xr3:uid="{1EC0E967-A1AD-421B-B718-74319C54DB47}" name="Forecast" totalsRowFunction="custom" dataDxfId="43" totalsRowDxfId="2" dataCellStyle="Monétaire">
      <totalsRowFormula>SUM(Tableau4132342515867647786[Forecast])</totalsRowFormula>
    </tableColumn>
  </tableColumns>
  <tableStyleInfo name="TableStyleMedium3 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6B63C83A-F068-4907-A3D4-F1F00BA50529}" name="Tableau4132342515867647787" displayName="Tableau4132342515867647787" ref="C36:D46" totalsRowCount="1" headerRowDxfId="42" dataDxfId="41" totalsRowDxfId="40">
  <autoFilter ref="C36:D45" xr:uid="{6B63C83A-F068-4907-A3D4-F1F00BA50529}"/>
  <tableColumns count="2">
    <tableColumn id="1" xr3:uid="{6D402A6F-1B27-4D33-A94C-33BE0533AB99}" name="Sub-Category" totalsRowLabel="Total" dataDxfId="39" totalsRowDxfId="13"/>
    <tableColumn id="2" xr3:uid="{D8D4242A-1940-4CE4-A045-1B8AC7C4038C}" name="Forecast" totalsRowFunction="custom" dataDxfId="38" totalsRowDxfId="12" dataCellStyle="Monétaire">
      <totalsRowFormula>SUM(Tableau4132342515867647787[Forecast])</totalsRowFormula>
    </tableColumn>
  </tableColumns>
  <tableStyleInfo name="TableStyleMedium3 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6A123FC0-47E4-4861-886B-343FCFCCC729}" name="Tableau413234251586764778788" displayName="Tableau413234251586764778788" ref="G36:H46" totalsRowCount="1" headerRowDxfId="37" dataDxfId="36" totalsRowDxfId="35">
  <autoFilter ref="G36:H45" xr:uid="{6A123FC0-47E4-4861-886B-343FCFCCC729}"/>
  <tableColumns count="2">
    <tableColumn id="1" xr3:uid="{22CD71F6-43FB-4477-AC32-384C0B96F980}" name="Sub-Category" totalsRowLabel="Total" dataDxfId="34" totalsRowDxfId="5"/>
    <tableColumn id="2" xr3:uid="{CDF4C342-FBA2-4901-84C7-561EB0BB2323}" name="Forecast" totalsRowFunction="custom" dataDxfId="33" totalsRowDxfId="4" dataCellStyle="Monétaire">
      <totalsRowFormula>SUM(Tableau413234251586764778788[Forecast])</totalsRowFormula>
    </tableColumn>
  </tableColumns>
  <tableStyleInfo name="TableStyleMedium3 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5AB2E7D-D1D8-46B8-86AC-FDE3224FFCCD}" name="Tableau413234251586764778789" displayName="Tableau413234251586764778789" ref="C49:D59" totalsRowCount="1" headerRowDxfId="32" dataDxfId="31" totalsRowDxfId="30">
  <autoFilter ref="C49:D58" xr:uid="{05AB2E7D-D1D8-46B8-86AC-FDE3224FFCCD}"/>
  <tableColumns count="2">
    <tableColumn id="1" xr3:uid="{20597162-31F4-4195-AB82-F85D8F647010}" name="Sub-Category" totalsRowLabel="Total" dataDxfId="29" totalsRowDxfId="11"/>
    <tableColumn id="2" xr3:uid="{8F1ABE02-0676-4BA4-BB33-B6039940D74A}" name="Forecast" totalsRowFunction="custom" dataDxfId="28" totalsRowDxfId="10" dataCellStyle="Monétaire">
      <totalsRowFormula>SUM(Tableau413234251586764778789[Forecast])</totalsRowFormula>
    </tableColumn>
  </tableColumns>
  <tableStyleInfo name="TableStyleMedium3 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EC618C95-160A-475B-B95F-032FE815C06B}" name="Tableau41323425158676477878990" displayName="Tableau41323425158676477878990" ref="G49:H59" totalsRowCount="1" headerRowDxfId="27" dataDxfId="26" totalsRowDxfId="25">
  <autoFilter ref="G49:H58" xr:uid="{EC618C95-160A-475B-B95F-032FE815C06B}"/>
  <tableColumns count="2">
    <tableColumn id="1" xr3:uid="{625C64FC-1140-446D-89DC-98CD6E9D82C4}" name="Sub-Category" totalsRowLabel="Total" dataDxfId="24" totalsRowDxfId="7"/>
    <tableColumn id="2" xr3:uid="{53277775-4F11-4E4D-8E36-2EAEEB0022D1}" name="Forecast" totalsRowFunction="custom" dataDxfId="23" totalsRowDxfId="6" dataCellStyle="Monétaire">
      <totalsRowFormula>SUM(Tableau41323425158676477878990[Forecast])</totalsRowFormula>
    </tableColumn>
  </tableColumns>
  <tableStyleInfo name="TableStyleMedium3 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CA2ED113-943B-4FCB-962F-A51D61584886}" name="Tableau41323425158676477878991" displayName="Tableau41323425158676477878991" ref="C62:D70" totalsRowCount="1" headerRowDxfId="22" dataDxfId="21" totalsRowDxfId="20">
  <autoFilter ref="C62:D69" xr:uid="{CA2ED113-943B-4FCB-962F-A51D61584886}"/>
  <tableColumns count="2">
    <tableColumn id="1" xr3:uid="{8051BBA1-51EE-41D5-A78D-BA60004CCFA1}" name="Sub-Category" totalsRowLabel="Total" dataDxfId="19" totalsRowDxfId="9"/>
    <tableColumn id="2" xr3:uid="{CC44BA81-4307-4163-87FC-402145E65923}" name="Forecast" totalsRowFunction="custom" dataDxfId="18" totalsRowDxfId="8" dataCellStyle="Monétaire">
      <totalsRowFormula>SUM(Tableau41323425158676477878991[Forecast])</totalsRowFormula>
    </tableColumn>
  </tableColumns>
  <tableStyleInfo name="TableStyleMedium3 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4132342515867" displayName="Tableau4132342515867" ref="C4:F13" totalsRowCount="1" headerRowDxfId="590" dataDxfId="589" totalsRowDxfId="588">
  <autoFilter ref="C4:F12" xr:uid="{00000000-0009-0000-0100-000001000000}"/>
  <tableColumns count="4">
    <tableColumn id="1" xr3:uid="{00000000-0010-0000-0000-000001000000}" name="Details" totalsRowLabel="Total" dataDxfId="587" totalsRowDxfId="586"/>
    <tableColumn id="2" xr3:uid="{00000000-0010-0000-0000-000002000000}" name="Date" dataDxfId="585" totalsRowDxfId="584"/>
    <tableColumn id="3" xr3:uid="{00000000-0010-0000-0000-000003000000}" name="Revenues" totalsRowFunction="custom" dataDxfId="583" totalsRowDxfId="582">
      <totalsRowFormula>SUBTOTAL(9,Tableau4132342515867[Revenues])</totalsRowFormula>
    </tableColumn>
    <tableColumn id="4" xr3:uid="{00000000-0010-0000-0000-000004000000}" name="Expenses" totalsRowFunction="custom" dataDxfId="581" totalsRowDxfId="580">
      <totalsRowFormula>SUBTOTAL(9,Tableau4132342515867[Expenses])</totalsRowFormula>
    </tableColumn>
  </tableColumns>
  <tableStyleInfo name="TableStyleMedium3 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446162645546170" displayName="Tableau446162645546170" ref="C16:F25" totalsRowCount="1" headerRowDxfId="579" dataDxfId="578" totalsRowDxfId="577">
  <autoFilter ref="C16:F24" xr:uid="{00000000-0009-0000-0100-000002000000}"/>
  <tableColumns count="4">
    <tableColumn id="1" xr3:uid="{00000000-0010-0000-0100-000001000000}" name="Details" totalsRowLabel="Total" dataDxfId="576" totalsRowDxfId="575"/>
    <tableColumn id="2" xr3:uid="{00000000-0010-0000-0100-000002000000}" name="Date" dataDxfId="574" totalsRowDxfId="573"/>
    <tableColumn id="3" xr3:uid="{00000000-0010-0000-0100-000003000000}" name="Revenues" totalsRowFunction="custom" dataDxfId="572" totalsRowDxfId="571">
      <totalsRowFormula>SUBTOTAL(9,Tableau446162645546170[Revenues])</totalsRowFormula>
    </tableColumn>
    <tableColumn id="4" xr3:uid="{00000000-0010-0000-0100-000004000000}" name="Expenses" totalsRowFunction="custom" dataDxfId="570" totalsRowDxfId="569">
      <totalsRowFormula>SUBTOTAL(9,Tableau446162645546170[Expenses])</totalsRowFormula>
    </tableColumn>
  </tableColumns>
  <tableStyleInfo name="TableStyleMedium3 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au44616264554617020" displayName="Tableau44616264554617020" ref="I16:L25" totalsRowCount="1" headerRowDxfId="568" dataDxfId="567" totalsRowDxfId="566">
  <autoFilter ref="I16:L24" xr:uid="{00000000-0009-0000-0100-000003000000}"/>
  <tableColumns count="4">
    <tableColumn id="1" xr3:uid="{00000000-0010-0000-0200-000001000000}" name="Details" totalsRowLabel="Total" dataDxfId="565" totalsRowDxfId="564"/>
    <tableColumn id="2" xr3:uid="{00000000-0010-0000-0200-000002000000}" name="Date" dataDxfId="563" totalsRowDxfId="562"/>
    <tableColumn id="3" xr3:uid="{00000000-0010-0000-0200-000003000000}" name="Revenues" totalsRowFunction="custom" dataDxfId="561" totalsRowDxfId="560">
      <totalsRowFormula>SUBTOTAL(9,Tableau44616264554617020[Revenues])</totalsRowFormula>
    </tableColumn>
    <tableColumn id="4" xr3:uid="{00000000-0010-0000-0200-000004000000}" name="Expenses" totalsRowFunction="custom" dataDxfId="559" totalsRowDxfId="558">
      <totalsRowFormula>SUBTOTAL(9,Tableau44616264554617020[Expenses])</totalsRowFormula>
    </tableColumn>
  </tableColumns>
  <tableStyleInfo name="TableStyleMedium3 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au44616264554617021" displayName="Tableau44616264554617021" ref="C28:F37" totalsRowCount="1" headerRowDxfId="557" dataDxfId="556" totalsRowDxfId="555">
  <autoFilter ref="C28:F36" xr:uid="{00000000-0009-0000-0100-000004000000}"/>
  <tableColumns count="4">
    <tableColumn id="1" xr3:uid="{00000000-0010-0000-0300-000001000000}" name="Details" totalsRowLabel="Total" dataDxfId="554" totalsRowDxfId="553"/>
    <tableColumn id="2" xr3:uid="{00000000-0010-0000-0300-000002000000}" name="Date" dataDxfId="552" totalsRowDxfId="551"/>
    <tableColumn id="3" xr3:uid="{00000000-0010-0000-0300-000003000000}" name="Revenues" totalsRowFunction="custom" dataDxfId="550" totalsRowDxfId="549">
      <totalsRowFormula>SUBTOTAL(9,Tableau44616264554617021[Revenues])</totalsRowFormula>
    </tableColumn>
    <tableColumn id="4" xr3:uid="{00000000-0010-0000-0300-000004000000}" name="Expenses" totalsRowFunction="custom" dataDxfId="548" totalsRowDxfId="547">
      <totalsRowFormula>SUBTOTAL(9,Tableau44616264554617021[Expenses])</totalsRowFormula>
    </tableColumn>
  </tableColumns>
  <tableStyleInfo name="TableStyleMedium3 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au44616264554617022" displayName="Tableau44616264554617022" ref="I28:L37" totalsRowCount="1" headerRowDxfId="546" dataDxfId="545" totalsRowDxfId="544">
  <autoFilter ref="I28:L36" xr:uid="{00000000-0009-0000-0100-000005000000}"/>
  <tableColumns count="4">
    <tableColumn id="1" xr3:uid="{00000000-0010-0000-0400-000001000000}" name="Details" totalsRowLabel="Total" dataDxfId="543" totalsRowDxfId="542"/>
    <tableColumn id="2" xr3:uid="{00000000-0010-0000-0400-000002000000}" name="Date" dataDxfId="541" totalsRowDxfId="540"/>
    <tableColumn id="3" xr3:uid="{00000000-0010-0000-0400-000003000000}" name="Revenues" totalsRowFunction="custom" dataDxfId="539" totalsRowDxfId="538">
      <totalsRowFormula>SUBTOTAL(9,Tableau44616264554617022[Revenues])</totalsRowFormula>
    </tableColumn>
    <tableColumn id="4" xr3:uid="{00000000-0010-0000-0400-000004000000}" name="Expenses" totalsRowFunction="custom" dataDxfId="537" totalsRowDxfId="536">
      <totalsRowFormula>SUBTOTAL(9,Tableau44616264554617022[Expenses])</totalsRowFormula>
    </tableColumn>
  </tableColumns>
  <tableStyleInfo name="TableStyleMedium3 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au44616264554617023" displayName="Tableau44616264554617023" ref="C40:F49" totalsRowCount="1" headerRowDxfId="535" dataDxfId="534" totalsRowDxfId="533">
  <autoFilter ref="C40:F48" xr:uid="{00000000-0009-0000-0100-000006000000}"/>
  <tableColumns count="4">
    <tableColumn id="1" xr3:uid="{00000000-0010-0000-0500-000001000000}" name="Details" totalsRowLabel="Total" dataDxfId="532" totalsRowDxfId="531"/>
    <tableColumn id="2" xr3:uid="{00000000-0010-0000-0500-000002000000}" name="Date" dataDxfId="530" totalsRowDxfId="529"/>
    <tableColumn id="3" xr3:uid="{00000000-0010-0000-0500-000003000000}" name="Revenues" totalsRowFunction="custom" dataDxfId="528" totalsRowDxfId="527">
      <totalsRowFormula>SUBTOTAL(9,Tableau44616264554617023[Revenues])</totalsRowFormula>
    </tableColumn>
    <tableColumn id="4" xr3:uid="{00000000-0010-0000-0500-000004000000}" name="Expenses" totalsRowFunction="custom" dataDxfId="526" totalsRowDxfId="525">
      <totalsRowFormula>SUBTOTAL(9,Tableau44616264554617023[Expenses])</totalsRowFormula>
    </tableColumn>
  </tableColumns>
  <tableStyleInfo name="TableStyleMedium3 3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au44616264554617024" displayName="Tableau44616264554617024" ref="I40:L49" totalsRowCount="1" headerRowDxfId="524" dataDxfId="523" totalsRowDxfId="522">
  <autoFilter ref="I40:L48" xr:uid="{00000000-0009-0000-0100-000007000000}"/>
  <tableColumns count="4">
    <tableColumn id="1" xr3:uid="{00000000-0010-0000-0600-000001000000}" name="Details" totalsRowLabel="Total" dataDxfId="521" totalsRowDxfId="520"/>
    <tableColumn id="2" xr3:uid="{00000000-0010-0000-0600-000002000000}" name="Date" dataDxfId="519" totalsRowDxfId="518"/>
    <tableColumn id="3" xr3:uid="{00000000-0010-0000-0600-000003000000}" name="Revenues" totalsRowFunction="custom" dataDxfId="517" totalsRowDxfId="516">
      <totalsRowFormula>SUBTOTAL(9,Tableau44616264554617024[Revenues])</totalsRowFormula>
    </tableColumn>
    <tableColumn id="4" xr3:uid="{00000000-0010-0000-0600-000004000000}" name="Expenses" totalsRowFunction="custom" dataDxfId="515" totalsRowDxfId="514">
      <totalsRowFormula>SUBTOTAL(9,Tableau44616264554617024[Expenses])</totalsRowFormula>
    </tableColumn>
  </tableColumns>
  <tableStyleInfo name="TableStyleMedium3 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au44616264554617025" displayName="Tableau44616264554617025" ref="C52:F61" totalsRowCount="1" headerRowDxfId="513" dataDxfId="512" totalsRowDxfId="511">
  <autoFilter ref="C52:F60" xr:uid="{00000000-0009-0000-0100-000008000000}"/>
  <tableColumns count="4">
    <tableColumn id="1" xr3:uid="{00000000-0010-0000-0700-000001000000}" name="Details" totalsRowLabel="Total" dataDxfId="510" totalsRowDxfId="509"/>
    <tableColumn id="2" xr3:uid="{00000000-0010-0000-0700-000002000000}" name="Date" dataDxfId="508" totalsRowDxfId="507"/>
    <tableColumn id="3" xr3:uid="{00000000-0010-0000-0700-000003000000}" name="Revenues" totalsRowFunction="custom" dataDxfId="506" totalsRowDxfId="505">
      <totalsRowFormula>SUBTOTAL(9,Tableau44616264554617025[Revenues])</totalsRowFormula>
    </tableColumn>
    <tableColumn id="4" xr3:uid="{00000000-0010-0000-0700-000004000000}" name="Expenses" totalsRowFunction="custom" dataDxfId="504" totalsRowDxfId="503">
      <totalsRowFormula>SUBTOTAL(9,Tableau44616264554617025[Expenses])</totalsRowFormula>
    </tableColumn>
  </tableColumns>
  <tableStyleInfo name="TableStyleMedium3 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au44616264554617014" displayName="Tableau44616264554617014" ref="I4:L13" totalsRowCount="1" headerRowDxfId="502" dataDxfId="501" totalsRowDxfId="500">
  <autoFilter ref="I4:L12" xr:uid="{00000000-0009-0000-0100-00000B000000}"/>
  <tableColumns count="4">
    <tableColumn id="1" xr3:uid="{00000000-0010-0000-0A00-000001000000}" name="Details" totalsRowLabel="Total" dataDxfId="499" totalsRowDxfId="498"/>
    <tableColumn id="2" xr3:uid="{00000000-0010-0000-0A00-000002000000}" name="Date" dataDxfId="497" totalsRowDxfId="496"/>
    <tableColumn id="3" xr3:uid="{00000000-0010-0000-0A00-000003000000}" name="Revenues" totalsRowFunction="custom" dataDxfId="495" totalsRowDxfId="494">
      <totalsRowFormula>SUBTOTAL(9,Tableau44616264554617014[Revenues])</totalsRowFormula>
    </tableColumn>
    <tableColumn id="4" xr3:uid="{00000000-0010-0000-0A00-000004000000}" name="Expenses" totalsRowFunction="custom" dataDxfId="493" totalsRowDxfId="492">
      <totalsRowFormula>SUBTOTAL(9,Tableau44616264554617014[Expenses])</totalsRowFormula>
    </tableColumn>
  </tableColumns>
  <tableStyleInfo name="TableStyleMedium3 3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au413234251586713" displayName="Tableau413234251586713" ref="C4:F13" totalsRowCount="1" headerRowDxfId="491" dataDxfId="490" totalsRowDxfId="489">
  <autoFilter ref="C4:F12" xr:uid="{00000000-0009-0000-0100-00000C000000}"/>
  <tableColumns count="4">
    <tableColumn id="1" xr3:uid="{00000000-0010-0000-0B00-000001000000}" name="Details" totalsRowLabel="Total" dataDxfId="488" totalsRowDxfId="487"/>
    <tableColumn id="2" xr3:uid="{00000000-0010-0000-0B00-000002000000}" name="Date" dataDxfId="486" totalsRowDxfId="485"/>
    <tableColumn id="3" xr3:uid="{00000000-0010-0000-0B00-000003000000}" name="Revenues" totalsRowFunction="custom" dataDxfId="484" totalsRowDxfId="483">
      <totalsRowFormula>SUBTOTAL(9,Tableau413234251586713[Revenues])</totalsRowFormula>
    </tableColumn>
    <tableColumn id="4" xr3:uid="{00000000-0010-0000-0B00-000004000000}" name="Expenses" totalsRowFunction="custom" dataDxfId="482" totalsRowDxfId="481">
      <totalsRowFormula>SUBTOTAL(9,Tableau413234251586713[Expenses])</totalsRowFormula>
    </tableColumn>
  </tableColumns>
  <tableStyleInfo name="TableStyleMedium3 3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au44616264554617015" displayName="Tableau44616264554617015" ref="C16:F25" totalsRowCount="1" headerRowDxfId="480" dataDxfId="479" totalsRowDxfId="478">
  <autoFilter ref="C16:F24" xr:uid="{00000000-0009-0000-0100-00000D000000}"/>
  <tableColumns count="4">
    <tableColumn id="1" xr3:uid="{00000000-0010-0000-0C00-000001000000}" name="Details" totalsRowLabel="Total" dataDxfId="477" totalsRowDxfId="476"/>
    <tableColumn id="2" xr3:uid="{00000000-0010-0000-0C00-000002000000}" name="Date" dataDxfId="475" totalsRowDxfId="474"/>
    <tableColumn id="3" xr3:uid="{00000000-0010-0000-0C00-000003000000}" name="Revenues" totalsRowFunction="custom" dataDxfId="473" totalsRowDxfId="472">
      <totalsRowFormula>SUBTOTAL(9,Tableau44616264554617015[Revenues])</totalsRowFormula>
    </tableColumn>
    <tableColumn id="4" xr3:uid="{00000000-0010-0000-0C00-000004000000}" name="Expenses" totalsRowFunction="custom" dataDxfId="471" totalsRowDxfId="470">
      <totalsRowFormula>SUBTOTAL(9,Tableau44616264554617015[Expenses])</totalsRowFormula>
    </tableColumn>
  </tableColumns>
  <tableStyleInfo name="TableStyleMedium3 3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au4461626455461702015" displayName="Tableau4461626455461702015" ref="I16:L25" totalsRowCount="1" headerRowDxfId="469" dataDxfId="468" totalsRowDxfId="467">
  <autoFilter ref="I16:L24" xr:uid="{00000000-0009-0000-0100-00000E000000}"/>
  <tableColumns count="4">
    <tableColumn id="1" xr3:uid="{00000000-0010-0000-0D00-000001000000}" name="Details" totalsRowLabel="Total" dataDxfId="466" totalsRowDxfId="465"/>
    <tableColumn id="2" xr3:uid="{00000000-0010-0000-0D00-000002000000}" name="Date" dataDxfId="464" totalsRowDxfId="463"/>
    <tableColumn id="3" xr3:uid="{00000000-0010-0000-0D00-000003000000}" name="Revenues" totalsRowFunction="custom" dataDxfId="462" totalsRowDxfId="461">
      <totalsRowFormula>SUBTOTAL(9,Tableau4461626455461702015[Revenues])</totalsRowFormula>
    </tableColumn>
    <tableColumn id="4" xr3:uid="{00000000-0010-0000-0D00-000004000000}" name="Expenses" totalsRowFunction="custom" dataDxfId="460" totalsRowDxfId="459">
      <totalsRowFormula>SUBTOTAL(9,Tableau4461626455461702015[Expenses])</totalsRowFormula>
    </tableColumn>
  </tableColumns>
  <tableStyleInfo name="TableStyleMedium3 3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au4461626455461702116" displayName="Tableau4461626455461702116" ref="C28:F37" totalsRowCount="1" headerRowDxfId="458" dataDxfId="457" totalsRowDxfId="456">
  <autoFilter ref="C28:F36" xr:uid="{00000000-0009-0000-0100-00000F000000}"/>
  <tableColumns count="4">
    <tableColumn id="1" xr3:uid="{00000000-0010-0000-0E00-000001000000}" name="Details" totalsRowLabel="Total" dataDxfId="455" totalsRowDxfId="454"/>
    <tableColumn id="2" xr3:uid="{00000000-0010-0000-0E00-000002000000}" name="Date" dataDxfId="453" totalsRowDxfId="452"/>
    <tableColumn id="3" xr3:uid="{00000000-0010-0000-0E00-000003000000}" name="Revenues" totalsRowFunction="custom" dataDxfId="451" totalsRowDxfId="450">
      <totalsRowFormula>SUBTOTAL(9,Tableau4461626455461702116[Revenues])</totalsRowFormula>
    </tableColumn>
    <tableColumn id="4" xr3:uid="{00000000-0010-0000-0E00-000004000000}" name="Expenses" totalsRowFunction="custom" dataDxfId="449" totalsRowDxfId="448">
      <totalsRowFormula>SUBTOTAL(9,Tableau4461626455461702116[Expenses])</totalsRowFormula>
    </tableColumn>
  </tableColumns>
  <tableStyleInfo name="TableStyleMedium3 3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au4461626455461702217" displayName="Tableau4461626455461702217" ref="I28:L37" totalsRowCount="1" headerRowDxfId="447" dataDxfId="446" totalsRowDxfId="445">
  <autoFilter ref="I28:L36" xr:uid="{00000000-0009-0000-0100-000010000000}"/>
  <tableColumns count="4">
    <tableColumn id="1" xr3:uid="{00000000-0010-0000-0F00-000001000000}" name="Details" totalsRowLabel="Total" dataDxfId="444" totalsRowDxfId="443"/>
    <tableColumn id="2" xr3:uid="{00000000-0010-0000-0F00-000002000000}" name="Date" dataDxfId="442" totalsRowDxfId="441"/>
    <tableColumn id="3" xr3:uid="{00000000-0010-0000-0F00-000003000000}" name="Revenues" totalsRowFunction="custom" dataDxfId="440" totalsRowDxfId="439">
      <totalsRowFormula>SUBTOTAL(9,Tableau4461626455461702217[Revenues])</totalsRowFormula>
    </tableColumn>
    <tableColumn id="4" xr3:uid="{00000000-0010-0000-0F00-000004000000}" name="Expenses" totalsRowFunction="custom" dataDxfId="438" totalsRowDxfId="437">
      <totalsRowFormula>SUBTOTAL(9,Tableau4461626455461702217[Expenses])</totalsRowFormula>
    </tableColumn>
  </tableColumns>
  <tableStyleInfo name="TableStyleMedium3 3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au4461626455461702318" displayName="Tableau4461626455461702318" ref="C40:F49" totalsRowCount="1" headerRowDxfId="436" dataDxfId="435" totalsRowDxfId="434">
  <autoFilter ref="C40:F48" xr:uid="{00000000-0009-0000-0100-000011000000}"/>
  <tableColumns count="4">
    <tableColumn id="1" xr3:uid="{00000000-0010-0000-1000-000001000000}" name="Details" totalsRowLabel="Total" dataDxfId="433" totalsRowDxfId="432"/>
    <tableColumn id="2" xr3:uid="{00000000-0010-0000-1000-000002000000}" name="Date" dataDxfId="431" totalsRowDxfId="430"/>
    <tableColumn id="3" xr3:uid="{00000000-0010-0000-1000-000003000000}" name="Revenues" totalsRowFunction="custom" dataDxfId="429" totalsRowDxfId="428">
      <totalsRowFormula>SUBTOTAL(9,Tableau4461626455461702318[Revenues])</totalsRowFormula>
    </tableColumn>
    <tableColumn id="4" xr3:uid="{00000000-0010-0000-1000-000004000000}" name="Expenses" totalsRowFunction="custom" dataDxfId="427" totalsRowDxfId="426">
      <totalsRowFormula>SUBTOTAL(9,Tableau4461626455461702318[Expenses])</totalsRowFormula>
    </tableColumn>
  </tableColumns>
  <tableStyleInfo name="TableStyleMedium3 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au4461626455461702419" displayName="Tableau4461626455461702419" ref="I40:L49" totalsRowCount="1" headerRowDxfId="425" dataDxfId="424" totalsRowDxfId="423">
  <autoFilter ref="I40:L48" xr:uid="{00000000-0009-0000-0100-000012000000}"/>
  <tableColumns count="4">
    <tableColumn id="1" xr3:uid="{00000000-0010-0000-1100-000001000000}" name="Details" totalsRowLabel="Total" dataDxfId="422" totalsRowDxfId="421"/>
    <tableColumn id="2" xr3:uid="{00000000-0010-0000-1100-000002000000}" name="Date" dataDxfId="420" totalsRowDxfId="419"/>
    <tableColumn id="3" xr3:uid="{00000000-0010-0000-1100-000003000000}" name="Revenues" totalsRowFunction="custom" dataDxfId="418" totalsRowDxfId="417">
      <totalsRowFormula>SUBTOTAL(9,Tableau4461626455461702419[Revenues])</totalsRowFormula>
    </tableColumn>
    <tableColumn id="4" xr3:uid="{00000000-0010-0000-1100-000004000000}" name="Expenses" totalsRowFunction="custom" dataDxfId="416" totalsRowDxfId="415">
      <totalsRowFormula>SUBTOTAL(9,Tableau4461626455461702419[Expenses])</totalsRowFormula>
    </tableColumn>
  </tableColumns>
  <tableStyleInfo name="TableStyleMedium3 3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au4461626455461702520" displayName="Tableau4461626455461702520" ref="C52:F61" totalsRowCount="1" headerRowDxfId="414" dataDxfId="413" totalsRowDxfId="412">
  <autoFilter ref="C52:F60" xr:uid="{00000000-0009-0000-0100-000013000000}"/>
  <tableColumns count="4">
    <tableColumn id="1" xr3:uid="{00000000-0010-0000-1200-000001000000}" name="Details" totalsRowLabel="Total" dataDxfId="411" totalsRowDxfId="410"/>
    <tableColumn id="2" xr3:uid="{00000000-0010-0000-1200-000002000000}" name="Date" dataDxfId="409" totalsRowDxfId="408"/>
    <tableColumn id="3" xr3:uid="{00000000-0010-0000-1200-000003000000}" name="Revenues" totalsRowFunction="custom" dataDxfId="407" totalsRowDxfId="406">
      <totalsRowFormula>SUBTOTAL(9,Tableau4461626455461702520[Revenues])</totalsRowFormula>
    </tableColumn>
    <tableColumn id="4" xr3:uid="{00000000-0010-0000-1200-000004000000}" name="Expenses" totalsRowFunction="custom" dataDxfId="405" totalsRowDxfId="404">
      <totalsRowFormula>SUBTOTAL(9,Tableau4461626455461702520[Expenses])</totalsRowFormula>
    </tableColumn>
  </tableColumns>
  <tableStyleInfo name="TableStyleMedium3 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au4461626455461701423" displayName="Tableau4461626455461701423" ref="I4:L13" totalsRowCount="1" headerRowDxfId="403" dataDxfId="402" totalsRowDxfId="401">
  <autoFilter ref="I4:L12" xr:uid="{00000000-0009-0000-0100-000014000000}"/>
  <tableColumns count="4">
    <tableColumn id="1" xr3:uid="{00000000-0010-0000-1300-000001000000}" name="Details" totalsRowLabel="Total" dataDxfId="400" totalsRowDxfId="399"/>
    <tableColumn id="2" xr3:uid="{00000000-0010-0000-1300-000002000000}" name="Date" dataDxfId="398" totalsRowDxfId="397"/>
    <tableColumn id="3" xr3:uid="{00000000-0010-0000-1300-000003000000}" name="Revenues" totalsRowFunction="custom" dataDxfId="396" totalsRowDxfId="395">
      <totalsRowFormula>SUBTOTAL(9,Tableau4461626455461701423[Revenues])</totalsRowFormula>
    </tableColumn>
    <tableColumn id="4" xr3:uid="{00000000-0010-0000-1300-000004000000}" name="Expenses" totalsRowFunction="custom" dataDxfId="394" totalsRowDxfId="393">
      <totalsRowFormula>SUBTOTAL(9,Tableau4461626455461701423[Expenses])</totalsRowFormula>
    </tableColumn>
  </tableColumns>
  <tableStyleInfo name="TableStyleMedium3 3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au41323425158672233" displayName="Tableau41323425158672233" ref="C4:F15" totalsRowCount="1" headerRowDxfId="392" dataDxfId="391" totalsRowDxfId="390">
  <autoFilter ref="C4:F14" xr:uid="{00000000-0009-0000-0100-000015000000}"/>
  <tableColumns count="4">
    <tableColumn id="1" xr3:uid="{00000000-0010-0000-1400-000001000000}" name="Details" totalsRowLabel="Total" dataDxfId="389" totalsRowDxfId="388"/>
    <tableColumn id="2" xr3:uid="{00000000-0010-0000-1400-000002000000}" name="Date" dataDxfId="387" totalsRowDxfId="386"/>
    <tableColumn id="3" xr3:uid="{00000000-0010-0000-1400-000003000000}" name="Revenues" totalsRowFunction="custom" dataDxfId="385" totalsRowDxfId="384">
      <totalsRowFormula>SUBTOTAL(9,Tableau41323425158672233[Revenues])</totalsRowFormula>
    </tableColumn>
    <tableColumn id="4" xr3:uid="{00000000-0010-0000-1400-000004000000}" name="Expenses" totalsRowFunction="custom" dataDxfId="383" totalsRowDxfId="382">
      <totalsRowFormula>SUBTOTAL(9,Tableau41323425158672233[Expenses])</totalsRowFormula>
    </tableColumn>
  </tableColumns>
  <tableStyleInfo name="TableStyleMedium3 3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au446162645546170143241" displayName="Tableau446162645546170143241" ref="I4:L13" totalsRowCount="1" headerRowDxfId="381" dataDxfId="380" totalsRowDxfId="379">
  <autoFilter ref="I4:L12" xr:uid="{00000000-0009-0000-0100-000016000000}"/>
  <tableColumns count="4">
    <tableColumn id="1" xr3:uid="{00000000-0010-0000-1500-000001000000}" name="Details" totalsRowLabel="Total" dataDxfId="378" totalsRowDxfId="377"/>
    <tableColumn id="2" xr3:uid="{00000000-0010-0000-1500-000002000000}" name="Date" dataDxfId="376" totalsRowDxfId="375"/>
    <tableColumn id="3" xr3:uid="{00000000-0010-0000-1500-000003000000}" name="Revenues" totalsRowFunction="custom" dataDxfId="374" totalsRowDxfId="373">
      <totalsRowFormula>SUBTOTAL(9,Tableau446162645546170143241[Revenues])</totalsRowFormula>
    </tableColumn>
    <tableColumn id="4" xr3:uid="{00000000-0010-0000-1500-000004000000}" name="Expenses" totalsRowFunction="custom" dataDxfId="372" totalsRowDxfId="371">
      <totalsRowFormula>SUBTOTAL(9,Tableau446162645546170143241[Expenses])</totalsRowFormula>
    </tableColumn>
  </tableColumns>
  <tableStyleInfo name="TableStyleMedium3 3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au4461626455461702834" displayName="Tableau4461626455461702834" ref="C18:F27" totalsRowCount="1" headerRowDxfId="370" dataDxfId="369" totalsRowDxfId="368">
  <autoFilter ref="C18:F26" xr:uid="{00000000-0009-0000-0100-000017000000}"/>
  <tableColumns count="4">
    <tableColumn id="1" xr3:uid="{00000000-0010-0000-1600-000001000000}" name="Details" totalsRowLabel="Total" dataDxfId="367" totalsRowDxfId="366"/>
    <tableColumn id="2" xr3:uid="{00000000-0010-0000-1600-000002000000}" name="Date" dataDxfId="365" totalsRowDxfId="364"/>
    <tableColumn id="3" xr3:uid="{00000000-0010-0000-1600-000003000000}" name="Revenues" totalsRowFunction="custom" dataDxfId="363" totalsRowDxfId="362">
      <totalsRowFormula>SUBTOTAL(9,Tableau4461626455461702834[Revenues])</totalsRowFormula>
    </tableColumn>
    <tableColumn id="4" xr3:uid="{00000000-0010-0000-1600-000004000000}" name="Expenses" totalsRowFunction="custom" dataDxfId="361" totalsRowDxfId="360">
      <totalsRowFormula>SUBTOTAL(9,Tableau4461626455461702834[Expenses])</totalsRowFormula>
    </tableColumn>
  </tableColumns>
  <tableStyleInfo name="TableStyleMedium3 3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ableau413234251586722" displayName="Tableau413234251586722" ref="C4:F13" totalsRowCount="1" headerRowDxfId="359" dataDxfId="358" totalsRowDxfId="357">
  <autoFilter ref="C4:F12" xr:uid="{00000000-0009-0000-0100-000018000000}"/>
  <tableColumns count="4">
    <tableColumn id="1" xr3:uid="{00000000-0010-0000-1700-000001000000}" name="Details" totalsRowLabel="Total" dataDxfId="356" totalsRowDxfId="355"/>
    <tableColumn id="2" xr3:uid="{00000000-0010-0000-1700-000002000000}" name="Date" dataDxfId="354" totalsRowDxfId="353"/>
    <tableColumn id="3" xr3:uid="{00000000-0010-0000-1700-000003000000}" name="Revenues" totalsRowFunction="custom" dataDxfId="352" totalsRowDxfId="351">
      <totalsRowFormula>SUBTOTAL(9,Tableau413234251586722[Revenues])</totalsRowFormula>
    </tableColumn>
    <tableColumn id="4" xr3:uid="{00000000-0010-0000-1700-000004000000}" name="Expenses" totalsRowFunction="custom" dataDxfId="350" totalsRowDxfId="349">
      <totalsRowFormula>SUBTOTAL(9,Tableau413234251586722[Expenses])</totalsRowFormula>
    </tableColumn>
  </tableColumns>
  <tableStyleInfo name="TableStyleMedium3 3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eau44616264554617028" displayName="Tableau44616264554617028" ref="C16:F25" totalsRowCount="1" headerRowDxfId="348" dataDxfId="347" totalsRowDxfId="346">
  <autoFilter ref="C16:F24" xr:uid="{00000000-0009-0000-0100-000019000000}"/>
  <tableColumns count="4">
    <tableColumn id="1" xr3:uid="{00000000-0010-0000-1800-000001000000}" name="Details" totalsRowLabel="Total" dataDxfId="345" totalsRowDxfId="344"/>
    <tableColumn id="2" xr3:uid="{00000000-0010-0000-1800-000002000000}" name="Date" dataDxfId="343" totalsRowDxfId="342"/>
    <tableColumn id="3" xr3:uid="{00000000-0010-0000-1800-000003000000}" name="Revenues" totalsRowFunction="custom" dataDxfId="341" totalsRowDxfId="340">
      <totalsRowFormula>SUBTOTAL(9,Tableau44616264554617028[Revenues])</totalsRowFormula>
    </tableColumn>
    <tableColumn id="4" xr3:uid="{00000000-0010-0000-1800-000004000000}" name="Expenses" totalsRowFunction="custom" dataDxfId="339" totalsRowDxfId="338">
      <totalsRowFormula>SUBTOTAL(9,Tableau44616264554617028[Expenses])</totalsRowFormula>
    </tableColumn>
  </tableColumns>
  <tableStyleInfo name="TableStyleMedium3 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eau4461626455461702024" displayName="Tableau4461626455461702024" ref="I16:L25" totalsRowCount="1" headerRowDxfId="337" dataDxfId="336" totalsRowDxfId="335">
  <autoFilter ref="I16:L24" xr:uid="{00000000-0009-0000-0100-00001A000000}"/>
  <tableColumns count="4">
    <tableColumn id="1" xr3:uid="{00000000-0010-0000-1900-000001000000}" name="Details" totalsRowLabel="Total" dataDxfId="334" totalsRowDxfId="333"/>
    <tableColumn id="2" xr3:uid="{00000000-0010-0000-1900-000002000000}" name="Date" dataDxfId="332" totalsRowDxfId="331"/>
    <tableColumn id="3" xr3:uid="{00000000-0010-0000-1900-000003000000}" name="Revenues" totalsRowFunction="custom" dataDxfId="330" totalsRowDxfId="329">
      <totalsRowFormula>SUBTOTAL(9,Tableau4461626455461702024[Revenues])</totalsRowFormula>
    </tableColumn>
    <tableColumn id="4" xr3:uid="{00000000-0010-0000-1900-000004000000}" name="Expenses" totalsRowFunction="custom" dataDxfId="328" totalsRowDxfId="327">
      <totalsRowFormula>SUBTOTAL(9,Tableau4461626455461702024[Expenses])</totalsRowFormula>
    </tableColumn>
  </tableColumns>
  <tableStyleInfo name="TableStyleMedium3 3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ableau4461626455461702125" displayName="Tableau4461626455461702125" ref="C28:F37" totalsRowCount="1" headerRowDxfId="326" dataDxfId="325" totalsRowDxfId="324">
  <autoFilter ref="C28:F36" xr:uid="{00000000-0009-0000-0100-00001B000000}"/>
  <tableColumns count="4">
    <tableColumn id="1" xr3:uid="{00000000-0010-0000-1A00-000001000000}" name="Details" totalsRowLabel="Total" dataDxfId="323" totalsRowDxfId="322"/>
    <tableColumn id="2" xr3:uid="{00000000-0010-0000-1A00-000002000000}" name="Date" dataDxfId="321" totalsRowDxfId="320"/>
    <tableColumn id="3" xr3:uid="{00000000-0010-0000-1A00-000003000000}" name="Revenues" totalsRowFunction="custom" dataDxfId="319" totalsRowDxfId="318">
      <totalsRowFormula>SUBTOTAL(9,Tableau4461626455461702125[Revenues])</totalsRowFormula>
    </tableColumn>
    <tableColumn id="4" xr3:uid="{00000000-0010-0000-1A00-000004000000}" name="Expenses" totalsRowFunction="custom" dataDxfId="317" totalsRowDxfId="316">
      <totalsRowFormula>SUBTOTAL(9,Tableau4461626455461702125[Expenses])</totalsRowFormula>
    </tableColumn>
  </tableColumns>
  <tableStyleInfo name="TableStyleMedium3 3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au4461626455461702226" displayName="Tableau4461626455461702226" ref="I28:L37" totalsRowCount="1" headerRowDxfId="315" dataDxfId="314" totalsRowDxfId="313">
  <autoFilter ref="I28:L36" xr:uid="{00000000-0009-0000-0100-00001C000000}"/>
  <tableColumns count="4">
    <tableColumn id="1" xr3:uid="{00000000-0010-0000-1B00-000001000000}" name="Details" totalsRowLabel="Total" dataDxfId="312" totalsRowDxfId="311"/>
    <tableColumn id="2" xr3:uid="{00000000-0010-0000-1B00-000002000000}" name="Date" dataDxfId="310" totalsRowDxfId="309"/>
    <tableColumn id="3" xr3:uid="{00000000-0010-0000-1B00-000003000000}" name="Revenues" totalsRowFunction="custom" dataDxfId="308" totalsRowDxfId="307">
      <totalsRowFormula>SUBTOTAL(9,Tableau4461626455461702226[Revenues])</totalsRowFormula>
    </tableColumn>
    <tableColumn id="4" xr3:uid="{00000000-0010-0000-1B00-000004000000}" name="Expenses" totalsRowFunction="custom" dataDxfId="306" totalsRowDxfId="305">
      <totalsRowFormula>SUBTOTAL(9,Tableau4461626455461702226[Expenses])</totalsRowFormula>
    </tableColumn>
  </tableColumns>
  <tableStyleInfo name="TableStyleMedium3 3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ableau4461626455461702327" displayName="Tableau4461626455461702327" ref="C40:F49" totalsRowCount="1" headerRowDxfId="304" dataDxfId="303" totalsRowDxfId="302">
  <autoFilter ref="C40:F48" xr:uid="{00000000-0009-0000-0100-00001D000000}"/>
  <tableColumns count="4">
    <tableColumn id="1" xr3:uid="{00000000-0010-0000-1C00-000001000000}" name="Details" totalsRowLabel="Total" dataDxfId="301" totalsRowDxfId="300"/>
    <tableColumn id="2" xr3:uid="{00000000-0010-0000-1C00-000002000000}" name="Date" dataDxfId="299" totalsRowDxfId="298"/>
    <tableColumn id="3" xr3:uid="{00000000-0010-0000-1C00-000003000000}" name="Revenues" totalsRowFunction="custom" dataDxfId="297" totalsRowDxfId="296">
      <totalsRowFormula>SUBTOTAL(9,Tableau4461626455461702327[Revenues])</totalsRowFormula>
    </tableColumn>
    <tableColumn id="4" xr3:uid="{00000000-0010-0000-1C00-000004000000}" name="Expenses" totalsRowFunction="custom" dataDxfId="295" totalsRowDxfId="294">
      <totalsRowFormula>SUBTOTAL(9,Tableau4461626455461702327[Expenses])</totalsRowFormula>
    </tableColumn>
  </tableColumns>
  <tableStyleInfo name="TableStyleMedium3 3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Tableau4461626455461702428" displayName="Tableau4461626455461702428" ref="I40:L49" totalsRowCount="1" headerRowDxfId="293" dataDxfId="292" totalsRowDxfId="291">
  <autoFilter ref="I40:L48" xr:uid="{00000000-0009-0000-0100-00001E000000}"/>
  <tableColumns count="4">
    <tableColumn id="1" xr3:uid="{00000000-0010-0000-1D00-000001000000}" name="Details" totalsRowLabel="Total" dataDxfId="290" totalsRowDxfId="289"/>
    <tableColumn id="2" xr3:uid="{00000000-0010-0000-1D00-000002000000}" name="Date" dataDxfId="288" totalsRowDxfId="287"/>
    <tableColumn id="3" xr3:uid="{00000000-0010-0000-1D00-000003000000}" name="Revenues" totalsRowFunction="custom" dataDxfId="286" totalsRowDxfId="285">
      <totalsRowFormula>SUBTOTAL(9,Tableau4461626455461702428[Revenues])</totalsRowFormula>
    </tableColumn>
    <tableColumn id="4" xr3:uid="{00000000-0010-0000-1D00-000004000000}" name="Expenses" totalsRowFunction="custom" dataDxfId="284" totalsRowDxfId="283">
      <totalsRowFormula>SUBTOTAL(9,Tableau4461626455461702428[Expenses])</totalsRowFormula>
    </tableColumn>
  </tableColumns>
  <tableStyleInfo name="TableStyleMedium3 3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Tableau4461626455461702529" displayName="Tableau4461626455461702529" ref="C52:F61" totalsRowCount="1" headerRowDxfId="282" dataDxfId="281" totalsRowDxfId="280">
  <autoFilter ref="C52:F60" xr:uid="{00000000-0009-0000-0100-00001F000000}"/>
  <tableColumns count="4">
    <tableColumn id="1" xr3:uid="{00000000-0010-0000-1E00-000001000000}" name="Details" totalsRowLabel="Total" dataDxfId="279" totalsRowDxfId="278"/>
    <tableColumn id="2" xr3:uid="{00000000-0010-0000-1E00-000002000000}" name="Date" dataDxfId="277" totalsRowDxfId="276"/>
    <tableColumn id="3" xr3:uid="{00000000-0010-0000-1E00-000003000000}" name="Revenues" totalsRowFunction="custom" dataDxfId="275" totalsRowDxfId="274">
      <totalsRowFormula>SUBTOTAL(9,Tableau4461626455461702529[Revenues])</totalsRowFormula>
    </tableColumn>
    <tableColumn id="4" xr3:uid="{00000000-0010-0000-1E00-000004000000}" name="Expenses" totalsRowFunction="custom" dataDxfId="273" totalsRowDxfId="272">
      <totalsRowFormula>SUBTOTAL(9,Tableau4461626455461702529[Expenses])</totalsRowFormula>
    </tableColumn>
  </tableColumns>
  <tableStyleInfo name="TableStyleMedium3 3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Tableau4461626455461701432" displayName="Tableau4461626455461701432" ref="I4:L13" totalsRowCount="1" headerRowDxfId="271" dataDxfId="270" totalsRowDxfId="269">
  <autoFilter ref="I4:L12" xr:uid="{00000000-0009-0000-0100-000020000000}"/>
  <tableColumns count="4">
    <tableColumn id="1" xr3:uid="{00000000-0010-0000-1F00-000001000000}" name="Details" totalsRowLabel="Total" dataDxfId="268" totalsRowDxfId="267"/>
    <tableColumn id="2" xr3:uid="{00000000-0010-0000-1F00-000002000000}" name="Date" dataDxfId="266" totalsRowDxfId="265"/>
    <tableColumn id="3" xr3:uid="{00000000-0010-0000-1F00-000003000000}" name="Revenues" totalsRowFunction="custom" dataDxfId="264" totalsRowDxfId="263">
      <totalsRowFormula>SUBTOTAL(9,Tableau4461626455461701432[Revenues])</totalsRowFormula>
    </tableColumn>
    <tableColumn id="4" xr3:uid="{00000000-0010-0000-1F00-000004000000}" name="Expenses" totalsRowFunction="custom" dataDxfId="262" totalsRowDxfId="261">
      <totalsRowFormula>SUBTOTAL(9,Tableau4461626455461701432[Expenses])</totalsRowFormula>
    </tableColumn>
  </tableColumns>
  <tableStyleInfo name="TableStyleMedium3 3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Tableau41323425158672251" displayName="Tableau41323425158672251" ref="C4:F13" totalsRowCount="1" headerRowDxfId="260" dataDxfId="259" totalsRowDxfId="258">
  <autoFilter ref="C4:F12" xr:uid="{00000000-0009-0000-0100-000027000000}"/>
  <tableColumns count="4">
    <tableColumn id="1" xr3:uid="{00000000-0010-0000-2600-000001000000}" name="Details" totalsRowLabel="Total" dataDxfId="257" totalsRowDxfId="256"/>
    <tableColumn id="2" xr3:uid="{00000000-0010-0000-2600-000002000000}" name="Date" dataDxfId="255" totalsRowDxfId="254"/>
    <tableColumn id="3" xr3:uid="{00000000-0010-0000-2600-000003000000}" name="Revenues" totalsRowFunction="custom" dataDxfId="253" totalsRowDxfId="252">
      <totalsRowFormula>SUBTOTAL(9,Tableau41323425158672251[Revenues])</totalsRowFormula>
    </tableColumn>
    <tableColumn id="4" xr3:uid="{00000000-0010-0000-2600-000004000000}" name="Expenses" totalsRowFunction="custom" dataDxfId="251" totalsRowDxfId="250">
      <totalsRowFormula>SUBTOTAL(9,Tableau41323425158672251[Expenses])</totalsRowFormula>
    </tableColumn>
  </tableColumns>
  <tableStyleInfo name="TableStyleMedium3 3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Tableau4461626455461702852" displayName="Tableau4461626455461702852" ref="C16:F25" totalsRowCount="1" headerRowDxfId="249" dataDxfId="248" totalsRowDxfId="247">
  <autoFilter ref="C16:F24" xr:uid="{00000000-0009-0000-0100-000028000000}"/>
  <tableColumns count="4">
    <tableColumn id="1" xr3:uid="{00000000-0010-0000-2700-000001000000}" name="Details" totalsRowLabel="Total" dataDxfId="246" totalsRowDxfId="245"/>
    <tableColumn id="2" xr3:uid="{00000000-0010-0000-2700-000002000000}" name="Date" dataDxfId="244" totalsRowDxfId="243"/>
    <tableColumn id="3" xr3:uid="{00000000-0010-0000-2700-000003000000}" name="Revenues" totalsRowFunction="custom" dataDxfId="242" totalsRowDxfId="241">
      <totalsRowFormula>SUBTOTAL(9,Tableau4461626455461702852[Revenues])</totalsRowFormula>
    </tableColumn>
    <tableColumn id="4" xr3:uid="{00000000-0010-0000-2700-000004000000}" name="Expenses" totalsRowFunction="custom" dataDxfId="240" totalsRowDxfId="239">
      <totalsRowFormula>SUBTOTAL(9,Tableau4461626455461702852[Expenses])</totalsRowFormula>
    </tableColumn>
  </tableColumns>
  <tableStyleInfo name="TableStyleMedium3 3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Tableau446162645546170202453" displayName="Tableau446162645546170202453" ref="I16:L25" totalsRowCount="1" headerRowDxfId="238" dataDxfId="237" totalsRowDxfId="236">
  <autoFilter ref="I16:L24" xr:uid="{00000000-0009-0000-0100-000029000000}"/>
  <tableColumns count="4">
    <tableColumn id="1" xr3:uid="{00000000-0010-0000-2800-000001000000}" name="Details" totalsRowLabel="Total" dataDxfId="235" totalsRowDxfId="234"/>
    <tableColumn id="2" xr3:uid="{00000000-0010-0000-2800-000002000000}" name="Date" dataDxfId="233" totalsRowDxfId="232"/>
    <tableColumn id="3" xr3:uid="{00000000-0010-0000-2800-000003000000}" name="Revenues" totalsRowFunction="custom" dataDxfId="231" totalsRowDxfId="230">
      <totalsRowFormula>SUBTOTAL(9,Tableau446162645546170202453[Revenues])</totalsRowFormula>
    </tableColumn>
    <tableColumn id="4" xr3:uid="{00000000-0010-0000-2800-000004000000}" name="Expenses" totalsRowFunction="custom" dataDxfId="229" totalsRowDxfId="228">
      <totalsRowFormula>SUBTOTAL(9,Tableau446162645546170202453[Expenses])</totalsRowFormula>
    </tableColumn>
  </tableColumns>
  <tableStyleInfo name="TableStyleMedium3 3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Tableau446162645546170212554" displayName="Tableau446162645546170212554" ref="C28:F37" totalsRowCount="1" headerRowDxfId="227" dataDxfId="226" totalsRowDxfId="225">
  <autoFilter ref="C28:F36" xr:uid="{00000000-0009-0000-0100-00002A000000}"/>
  <tableColumns count="4">
    <tableColumn id="1" xr3:uid="{00000000-0010-0000-2900-000001000000}" name="Details" totalsRowLabel="Total" dataDxfId="224" totalsRowDxfId="223"/>
    <tableColumn id="2" xr3:uid="{00000000-0010-0000-2900-000002000000}" name="Date" dataDxfId="222" totalsRowDxfId="221"/>
    <tableColumn id="3" xr3:uid="{00000000-0010-0000-2900-000003000000}" name="Revenues" totalsRowFunction="custom" dataDxfId="220" totalsRowDxfId="219">
      <totalsRowFormula>SUBTOTAL(9,Tableau446162645546170212554[Revenues])</totalsRowFormula>
    </tableColumn>
    <tableColumn id="4" xr3:uid="{00000000-0010-0000-2900-000004000000}" name="Expenses" totalsRowFunction="custom" dataDxfId="218" totalsRowDxfId="217">
      <totalsRowFormula>SUBTOTAL(9,Tableau446162645546170212554[Expenses])</totalsRowFormula>
    </tableColumn>
  </tableColumns>
  <tableStyleInfo name="TableStyleMedium3 3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Tableau446162645546170222655" displayName="Tableau446162645546170222655" ref="I28:L37" totalsRowCount="1" headerRowDxfId="216" dataDxfId="215" totalsRowDxfId="214">
  <autoFilter ref="I28:L36" xr:uid="{00000000-0009-0000-0100-00002B000000}"/>
  <tableColumns count="4">
    <tableColumn id="1" xr3:uid="{00000000-0010-0000-2A00-000001000000}" name="Details" totalsRowLabel="Total" dataDxfId="213" totalsRowDxfId="212"/>
    <tableColumn id="2" xr3:uid="{00000000-0010-0000-2A00-000002000000}" name="Date" dataDxfId="211" totalsRowDxfId="210"/>
    <tableColumn id="3" xr3:uid="{00000000-0010-0000-2A00-000003000000}" name="Revenues" totalsRowFunction="custom" dataDxfId="209" totalsRowDxfId="208">
      <totalsRowFormula>SUBTOTAL(9,Tableau446162645546170222655[Revenues])</totalsRowFormula>
    </tableColumn>
    <tableColumn id="4" xr3:uid="{00000000-0010-0000-2A00-000004000000}" name="Expenses" totalsRowFunction="custom" dataDxfId="207" totalsRowDxfId="206">
      <totalsRowFormula>SUBTOTAL(9,Tableau446162645546170222655[Expenses])</totalsRowFormula>
    </tableColumn>
  </tableColumns>
  <tableStyleInfo name="TableStyleMedium3 3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Tableau446162645546170143259" displayName="Tableau446162645546170143259" ref="I4:L13" totalsRowCount="1" headerRowDxfId="205" dataDxfId="204" totalsRowDxfId="203">
  <autoFilter ref="I4:L12" xr:uid="{00000000-0009-0000-0100-00002D000000}"/>
  <tableColumns count="4">
    <tableColumn id="1" xr3:uid="{00000000-0010-0000-2C00-000001000000}" name="Details" totalsRowLabel="Total" dataDxfId="202" totalsRowDxfId="201"/>
    <tableColumn id="2" xr3:uid="{00000000-0010-0000-2C00-000002000000}" name="Date" dataDxfId="200" totalsRowDxfId="199"/>
    <tableColumn id="3" xr3:uid="{00000000-0010-0000-2C00-000003000000}" name="Revenues" totalsRowFunction="custom" dataDxfId="198" totalsRowDxfId="197">
      <totalsRowFormula>SUBTOTAL(9,Tableau446162645546170143259[Revenues])</totalsRowFormula>
    </tableColumn>
    <tableColumn id="4" xr3:uid="{00000000-0010-0000-2C00-000004000000}" name="Expenses" totalsRowFunction="custom" dataDxfId="196" totalsRowDxfId="195">
      <totalsRowFormula>SUBTOTAL(9,Tableau446162645546170143259[Expenses])</totalsRowFormula>
    </tableColumn>
  </tableColumns>
  <tableStyleInfo name="TableStyleMedium3 3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Tableau4132342515867224260" displayName="Tableau4132342515867224260" ref="C4:F13" totalsRowCount="1" headerRowDxfId="194" dataDxfId="193" totalsRowDxfId="192">
  <autoFilter ref="C4:F12" xr:uid="{00000000-0009-0000-0100-00002E000000}"/>
  <tableColumns count="4">
    <tableColumn id="1" xr3:uid="{00000000-0010-0000-2D00-000001000000}" name="Details" totalsRowLabel="Total" dataDxfId="191" totalsRowDxfId="190"/>
    <tableColumn id="2" xr3:uid="{00000000-0010-0000-2D00-000002000000}" name="Date" dataDxfId="189" totalsRowDxfId="188"/>
    <tableColumn id="3" xr3:uid="{00000000-0010-0000-2D00-000003000000}" name="Revenues" totalsRowFunction="custom" dataDxfId="187" totalsRowDxfId="186">
      <totalsRowFormula>SUBTOTAL(9,Tableau4132342515867224260[Revenues])</totalsRowFormula>
    </tableColumn>
    <tableColumn id="4" xr3:uid="{00000000-0010-0000-2D00-000004000000}" name="Expenses" totalsRowFunction="custom" dataDxfId="185" totalsRowDxfId="184">
      <totalsRowFormula>SUBTOTAL(9,Tableau4132342515867224260[Expenses])</totalsRowFormula>
    </tableColumn>
  </tableColumns>
  <tableStyleInfo name="TableStyleMedium3 3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Tableau446162645546170284361" displayName="Tableau446162645546170284361" ref="C16:F25" totalsRowCount="1" headerRowDxfId="183" dataDxfId="182" totalsRowDxfId="181">
  <autoFilter ref="C16:F24" xr:uid="{00000000-0009-0000-0100-00002F000000}"/>
  <tableColumns count="4">
    <tableColumn id="1" xr3:uid="{00000000-0010-0000-2E00-000001000000}" name="Details" totalsRowLabel="Total" dataDxfId="180" totalsRowDxfId="179"/>
    <tableColumn id="2" xr3:uid="{00000000-0010-0000-2E00-000002000000}" name="Date" dataDxfId="178" totalsRowDxfId="177"/>
    <tableColumn id="3" xr3:uid="{00000000-0010-0000-2E00-000003000000}" name="Revenues" totalsRowFunction="custom" dataDxfId="176" totalsRowDxfId="175">
      <totalsRowFormula>SUBTOTAL(9,Tableau446162645546170284361[Revenues])</totalsRowFormula>
    </tableColumn>
    <tableColumn id="4" xr3:uid="{00000000-0010-0000-2E00-000004000000}" name="Expenses" totalsRowFunction="custom" dataDxfId="174" totalsRowDxfId="173">
      <totalsRowFormula>SUBTOTAL(9,Tableau446162645546170284361[Expenses])</totalsRowFormula>
    </tableColumn>
  </tableColumns>
  <tableStyleInfo name="TableStyleMedium3 3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Tableau44616264554617020244462" displayName="Tableau44616264554617020244462" ref="I16:L25" totalsRowCount="1" headerRowDxfId="172" dataDxfId="171" totalsRowDxfId="170">
  <autoFilter ref="I16:L24" xr:uid="{00000000-0009-0000-0100-000030000000}"/>
  <tableColumns count="4">
    <tableColumn id="1" xr3:uid="{00000000-0010-0000-2F00-000001000000}" name="Details" totalsRowLabel="Total" dataDxfId="169" totalsRowDxfId="168"/>
    <tableColumn id="2" xr3:uid="{00000000-0010-0000-2F00-000002000000}" name="Date" dataDxfId="167" totalsRowDxfId="166"/>
    <tableColumn id="3" xr3:uid="{00000000-0010-0000-2F00-000003000000}" name="Revenues" totalsRowFunction="custom" dataDxfId="165" totalsRowDxfId="164">
      <totalsRowFormula>SUBTOTAL(9,Tableau44616264554617020244462[Revenues])</totalsRowFormula>
    </tableColumn>
    <tableColumn id="4" xr3:uid="{00000000-0010-0000-2F00-000004000000}" name="Expenses" totalsRowFunction="custom" dataDxfId="163" totalsRowDxfId="162">
      <totalsRowFormula>SUBTOTAL(9,Tableau44616264554617020244462[Expenses])</totalsRowFormula>
    </tableColumn>
  </tableColumns>
  <tableStyleInfo name="TableStyleMedium3 3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Tableau44616264554617014325065" displayName="Tableau44616264554617014325065" ref="I4:L13" totalsRowCount="1" headerRowDxfId="161" dataDxfId="160" totalsRowDxfId="159">
  <autoFilter ref="I4:L12" xr:uid="{00000000-0009-0000-0100-000031000000}"/>
  <tableColumns count="4">
    <tableColumn id="1" xr3:uid="{00000000-0010-0000-3000-000001000000}" name="Details" totalsRowLabel="Total" dataDxfId="158" totalsRowDxfId="157"/>
    <tableColumn id="2" xr3:uid="{00000000-0010-0000-3000-000002000000}" name="Date" dataDxfId="156" totalsRowDxfId="155"/>
    <tableColumn id="3" xr3:uid="{00000000-0010-0000-3000-000003000000}" name="Revenues" totalsRowFunction="custom" dataDxfId="154" totalsRowDxfId="153">
      <totalsRowFormula>SUBTOTAL(9,Tableau44616264554617014325065[Revenues])</totalsRowFormula>
    </tableColumn>
    <tableColumn id="4" xr3:uid="{00000000-0010-0000-3000-000004000000}" name="Expenses" totalsRowFunction="custom" dataDxfId="152" totalsRowDxfId="151">
      <totalsRowFormula>SUBTOTAL(9,Tableau44616264554617014325065[Expenses])</totalsRowFormula>
    </tableColumn>
  </tableColumns>
  <tableStyleInfo name="TableStyleMedium3 3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Tableau4132342515867224266" displayName="Tableau4132342515867224266" ref="C4:F13" totalsRowCount="1" headerRowDxfId="150" dataDxfId="149" totalsRowDxfId="148">
  <autoFilter ref="C4:F12" xr:uid="{00000000-0009-0000-0100-000032000000}"/>
  <tableColumns count="4">
    <tableColumn id="1" xr3:uid="{00000000-0010-0000-3100-000001000000}" name="Details" totalsRowLabel="Total" dataDxfId="147" totalsRowDxfId="146"/>
    <tableColumn id="2" xr3:uid="{00000000-0010-0000-3100-000002000000}" name="Date" dataDxfId="145" totalsRowDxfId="144"/>
    <tableColumn id="3" xr3:uid="{00000000-0010-0000-3100-000003000000}" name="Revenues" totalsRowFunction="custom" dataDxfId="143" totalsRowDxfId="142">
      <totalsRowFormula>SUBTOTAL(9,Tableau4132342515867224266[Revenues])</totalsRowFormula>
    </tableColumn>
    <tableColumn id="4" xr3:uid="{00000000-0010-0000-3100-000004000000}" name="Expenses" totalsRowFunction="custom" dataDxfId="141" totalsRowDxfId="140">
      <totalsRowFormula>SUBTOTAL(9,Tableau4132342515867224266[Expenses])</totalsRowFormula>
    </tableColumn>
  </tableColumns>
  <tableStyleInfo name="TableStyleMedium3 3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Tableau44616264554617014325071" displayName="Tableau44616264554617014325071" ref="I4:L13" totalsRowCount="1" headerRowDxfId="139" dataDxfId="138" totalsRowDxfId="137">
  <autoFilter ref="I4:L12" xr:uid="{00000000-0009-0000-0100-000036000000}"/>
  <tableColumns count="4">
    <tableColumn id="1" xr3:uid="{00000000-0010-0000-3500-000001000000}" name="Details" totalsRowLabel="Total" dataDxfId="136" totalsRowDxfId="135"/>
    <tableColumn id="2" xr3:uid="{00000000-0010-0000-3500-000002000000}" name="Date" dataDxfId="134" totalsRowDxfId="133"/>
    <tableColumn id="3" xr3:uid="{00000000-0010-0000-3500-000003000000}" name="Revenues" totalsRowFunction="custom" dataDxfId="132" totalsRowDxfId="131">
      <totalsRowFormula>SUBTOTAL(9,Tableau44616264554617014325071[Revenues])</totalsRowFormula>
    </tableColumn>
    <tableColumn id="4" xr3:uid="{00000000-0010-0000-3500-000004000000}" name="Expenses" totalsRowFunction="custom" dataDxfId="130" totalsRowDxfId="129">
      <totalsRowFormula>SUBTOTAL(9,Tableau44616264554617014325071[Expenses])</totalsRowFormula>
    </tableColumn>
  </tableColumns>
  <tableStyleInfo name="TableStyleMedium3 3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Tableau41323425158672242607276" displayName="Tableau41323425158672242607276" ref="C4:F13" totalsRowCount="1" headerRowDxfId="128" dataDxfId="127" totalsRowDxfId="126">
  <autoFilter ref="C4:F12" xr:uid="{00000000-0009-0000-0100-000039000000}"/>
  <tableColumns count="4">
    <tableColumn id="1" xr3:uid="{00000000-0010-0000-3800-000001000000}" name="Details" totalsRowLabel="Total" dataDxfId="125" totalsRowDxfId="124"/>
    <tableColumn id="2" xr3:uid="{00000000-0010-0000-3800-000002000000}" name="Date" dataDxfId="123" totalsRowDxfId="122"/>
    <tableColumn id="3" xr3:uid="{00000000-0010-0000-3800-000003000000}" name="Revenues" totalsRowFunction="custom" dataDxfId="121" totalsRowDxfId="120">
      <totalsRowFormula>SUBTOTAL(9,Tableau41323425158672242607276[Revenues])</totalsRowFormula>
    </tableColumn>
    <tableColumn id="4" xr3:uid="{00000000-0010-0000-3800-000004000000}" name="Expenses" totalsRowFunction="custom" dataDxfId="119" totalsRowDxfId="118">
      <totalsRowFormula>SUBTOTAL(9,Tableau41323425158672242607276[Expenses])</totalsRowFormula>
    </tableColumn>
  </tableColumns>
  <tableStyleInfo name="TableStyleMedium3 3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Tableau446162645546170143250657577" displayName="Tableau446162645546170143250657577" ref="I4:L13" totalsRowCount="1" headerRowDxfId="117" dataDxfId="116" totalsRowDxfId="115">
  <autoFilter ref="I4:L12" xr:uid="{00000000-0009-0000-0100-00003A000000}"/>
  <tableColumns count="4">
    <tableColumn id="1" xr3:uid="{00000000-0010-0000-3900-000001000000}" name="Details" totalsRowLabel="Total" dataDxfId="114" totalsRowDxfId="113"/>
    <tableColumn id="2" xr3:uid="{00000000-0010-0000-3900-000002000000}" name="Date" dataDxfId="112" totalsRowDxfId="111"/>
    <tableColumn id="3" xr3:uid="{00000000-0010-0000-3900-000003000000}" name="Revenues" totalsRowFunction="custom" dataDxfId="110" totalsRowDxfId="109">
      <totalsRowFormula>SUBTOTAL(9,Tableau446162645546170143250657577[Revenues])</totalsRowFormula>
    </tableColumn>
    <tableColumn id="4" xr3:uid="{00000000-0010-0000-3900-000004000000}" name="Expenses" totalsRowFunction="custom" dataDxfId="108" totalsRowDxfId="107">
      <totalsRowFormula>SUBTOTAL(9,Tableau446162645546170143250657577[Expenses])</totalsRowFormula>
    </tableColumn>
  </tableColumns>
  <tableStyleInfo name="TableStyleMedium3 3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Tableau413234251586722426078" displayName="Tableau413234251586722426078" ref="C4:F13" totalsRowCount="1" headerRowDxfId="106" dataDxfId="105" totalsRowDxfId="104">
  <autoFilter ref="C4:F12" xr:uid="{00000000-0009-0000-0100-00003B000000}"/>
  <tableColumns count="4">
    <tableColumn id="1" xr3:uid="{00000000-0010-0000-3A00-000001000000}" name="Details" totalsRowLabel="Total" dataDxfId="103" totalsRowDxfId="102"/>
    <tableColumn id="2" xr3:uid="{00000000-0010-0000-3A00-000002000000}" name="Date" dataDxfId="101" totalsRowDxfId="100"/>
    <tableColumn id="3" xr3:uid="{00000000-0010-0000-3A00-000003000000}" name="Revenues" totalsRowFunction="custom" dataDxfId="99" totalsRowDxfId="98">
      <totalsRowFormula>SUBTOTAL(9,Tableau413234251586722426078[Revenues])</totalsRowFormula>
    </tableColumn>
    <tableColumn id="4" xr3:uid="{00000000-0010-0000-3A00-000004000000}" name="Expenses" totalsRowFunction="custom" dataDxfId="97" totalsRowDxfId="96">
      <totalsRowFormula>SUBTOTAL(9,Tableau413234251586722426078[Expenses])</totalsRowFormula>
    </tableColumn>
  </tableColumns>
  <tableStyleInfo name="TableStyleMedium3 3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Tableau44616264554617028436179" displayName="Tableau44616264554617028436179" ref="C16:F25" totalsRowCount="1" headerRowDxfId="95" dataDxfId="94" totalsRowDxfId="93">
  <autoFilter ref="C16:F24" xr:uid="{00000000-0009-0000-0100-00003C000000}"/>
  <tableColumns count="4">
    <tableColumn id="1" xr3:uid="{00000000-0010-0000-3B00-000001000000}" name="Details" totalsRowLabel="Total" dataDxfId="92" totalsRowDxfId="91"/>
    <tableColumn id="2" xr3:uid="{00000000-0010-0000-3B00-000002000000}" name="Date" dataDxfId="90" totalsRowDxfId="89"/>
    <tableColumn id="3" xr3:uid="{00000000-0010-0000-3B00-000003000000}" name="Revenues" totalsRowFunction="custom" dataDxfId="88" totalsRowDxfId="87">
      <totalsRowFormula>SUBTOTAL(9,Tableau44616264554617028436179[Revenues])</totalsRowFormula>
    </tableColumn>
    <tableColumn id="4" xr3:uid="{00000000-0010-0000-3B00-000004000000}" name="Expenses" totalsRowFunction="custom" dataDxfId="86" totalsRowDxfId="85">
      <totalsRowFormula>SUBTOTAL(9,Tableau44616264554617028436179[Expenses])</totalsRowFormula>
    </tableColumn>
  </tableColumns>
  <tableStyleInfo name="TableStyleMedium3 3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Tableau4461626455461702024446280" displayName="Tableau4461626455461702024446280" ref="I16:L25" totalsRowCount="1" headerRowDxfId="84" dataDxfId="83" totalsRowDxfId="82">
  <autoFilter ref="I16:L24" xr:uid="{00000000-0009-0000-0100-00003D000000}"/>
  <tableColumns count="4">
    <tableColumn id="1" xr3:uid="{00000000-0010-0000-3C00-000001000000}" name="Details" totalsRowLabel="Total" dataDxfId="81" totalsRowDxfId="80"/>
    <tableColumn id="2" xr3:uid="{00000000-0010-0000-3C00-000002000000}" name="Date" dataDxfId="79" totalsRowDxfId="78"/>
    <tableColumn id="3" xr3:uid="{00000000-0010-0000-3C00-000003000000}" name="Revenues" totalsRowFunction="custom" dataDxfId="77" totalsRowDxfId="76">
      <totalsRowFormula>SUBTOTAL(9,Tableau4461626455461702024446280[Revenues])</totalsRowFormula>
    </tableColumn>
    <tableColumn id="4" xr3:uid="{00000000-0010-0000-3C00-000004000000}" name="Expenses" totalsRowFunction="custom" dataDxfId="75" totalsRowDxfId="74">
      <totalsRowFormula>SUBTOTAL(9,Tableau4461626455461702024446280[Expenses])</totalsRowFormula>
    </tableColumn>
  </tableColumns>
  <tableStyleInfo name="TableStyleMedium3 3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Tableau4461626455461701432506581" displayName="Tableau4461626455461701432506581" ref="I4:L13" totalsRowCount="1" headerRowDxfId="73" dataDxfId="72" totalsRowDxfId="71">
  <autoFilter ref="I4:L12" xr:uid="{00000000-0009-0000-0100-00003E000000}"/>
  <tableColumns count="4">
    <tableColumn id="1" xr3:uid="{00000000-0010-0000-3D00-000001000000}" name="Details" totalsRowLabel="Total" dataDxfId="70" totalsRowDxfId="69"/>
    <tableColumn id="2" xr3:uid="{00000000-0010-0000-3D00-000002000000}" name="Date" dataDxfId="68" totalsRowDxfId="67"/>
    <tableColumn id="3" xr3:uid="{00000000-0010-0000-3D00-000003000000}" name="Revenues" totalsRowFunction="custom" dataDxfId="66" totalsRowDxfId="65">
      <totalsRowFormula>SUBTOTAL(9,Tableau4461626455461701432506581[Revenues])</totalsRowFormula>
    </tableColumn>
    <tableColumn id="4" xr3:uid="{00000000-0010-0000-3D00-000004000000}" name="Expenses" totalsRowFunction="custom" dataDxfId="64" totalsRowDxfId="63">
      <totalsRowFormula>SUBTOTAL(9,Tableau4461626455461701432506581[Expenses])</totalsRowFormula>
    </tableColumn>
  </tableColumns>
  <tableStyleInfo name="TableStyleMedium3 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6.xml"/><Relationship Id="rId3" Type="http://schemas.openxmlformats.org/officeDocument/2006/relationships/table" Target="../tables/table21.xml"/><Relationship Id="rId7" Type="http://schemas.openxmlformats.org/officeDocument/2006/relationships/table" Target="../tables/table25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Relationship Id="rId6" Type="http://schemas.openxmlformats.org/officeDocument/2006/relationships/table" Target="../tables/table24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Relationship Id="rId9" Type="http://schemas.openxmlformats.org/officeDocument/2006/relationships/table" Target="../tables/table2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8.xml"/><Relationship Id="rId3" Type="http://schemas.openxmlformats.org/officeDocument/2006/relationships/table" Target="../tables/table33.xml"/><Relationship Id="rId7" Type="http://schemas.openxmlformats.org/officeDocument/2006/relationships/table" Target="../tables/table37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Relationship Id="rId6" Type="http://schemas.openxmlformats.org/officeDocument/2006/relationships/table" Target="../tables/table36.xml"/><Relationship Id="rId5" Type="http://schemas.openxmlformats.org/officeDocument/2006/relationships/table" Target="../tables/table35.xml"/><Relationship Id="rId4" Type="http://schemas.openxmlformats.org/officeDocument/2006/relationships/table" Target="../tables/table34.xml"/><Relationship Id="rId9" Type="http://schemas.openxmlformats.org/officeDocument/2006/relationships/table" Target="../tables/table3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Relationship Id="rId6" Type="http://schemas.openxmlformats.org/officeDocument/2006/relationships/table" Target="../tables/table45.xml"/><Relationship Id="rId5" Type="http://schemas.openxmlformats.org/officeDocument/2006/relationships/table" Target="../tables/table44.xml"/><Relationship Id="rId4" Type="http://schemas.openxmlformats.org/officeDocument/2006/relationships/table" Target="../tables/table4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Relationship Id="rId4" Type="http://schemas.openxmlformats.org/officeDocument/2006/relationships/table" Target="../tables/table4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table" Target="../tables/table50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table" Target="../tables/table54.xml"/><Relationship Id="rId4" Type="http://schemas.openxmlformats.org/officeDocument/2006/relationships/table" Target="../tables/table5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1E276-C51C-443E-95D6-6E8BA216CE76}">
  <dimension ref="A1:L85"/>
  <sheetViews>
    <sheetView tabSelected="1" workbookViewId="0">
      <selection activeCell="H4" sqref="H4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/>
    <col min="3" max="3" width="50.796875" style="15" customWidth="1"/>
    <col min="4" max="4" width="28.73046875" style="15" customWidth="1"/>
    <col min="5" max="5" width="35.6640625" style="15" customWidth="1"/>
    <col min="6" max="6" width="9.06640625" style="15"/>
    <col min="7" max="7" width="50.796875" style="15" customWidth="1"/>
    <col min="8" max="8" width="28.73046875" style="15" customWidth="1"/>
    <col min="9" max="9" width="35.6640625" style="15" customWidth="1"/>
    <col min="10" max="11" width="20.59765625" style="15" customWidth="1"/>
    <col min="12" max="12" width="20.6640625" style="15" customWidth="1"/>
    <col min="13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56</v>
      </c>
      <c r="D2" s="32"/>
      <c r="G2" s="35" t="s">
        <v>0</v>
      </c>
      <c r="H2" s="36">
        <f>SUM(D18,H18,D33,H33,D46,H46,D59,H59,D70,H70,D83)</f>
        <v>0</v>
      </c>
      <c r="I2" s="37"/>
      <c r="J2" s="38"/>
      <c r="K2" s="39"/>
      <c r="L2" s="39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57</v>
      </c>
      <c r="C4" s="3" t="s">
        <v>63</v>
      </c>
      <c r="D4" s="3" t="s">
        <v>56</v>
      </c>
      <c r="E4" s="1"/>
      <c r="F4" s="33" t="s">
        <v>55</v>
      </c>
      <c r="G4" s="3" t="s">
        <v>63</v>
      </c>
      <c r="H4" s="3" t="s">
        <v>56</v>
      </c>
      <c r="I4" s="23"/>
      <c r="J4" s="23"/>
    </row>
    <row r="5" spans="1:12" x14ac:dyDescent="0.45">
      <c r="A5" s="1"/>
      <c r="B5" s="32"/>
      <c r="C5" s="4"/>
      <c r="D5" s="40"/>
      <c r="E5" s="1"/>
      <c r="F5" s="32"/>
      <c r="G5" s="4"/>
      <c r="H5" s="40"/>
      <c r="I5" s="25"/>
      <c r="J5" s="25"/>
    </row>
    <row r="6" spans="1:12" x14ac:dyDescent="0.45">
      <c r="A6" s="1"/>
      <c r="B6" s="32"/>
      <c r="C6" s="4"/>
      <c r="D6" s="40"/>
      <c r="E6" s="1"/>
      <c r="F6" s="32"/>
      <c r="G6" s="4"/>
      <c r="H6" s="40"/>
      <c r="I6" s="22"/>
      <c r="J6" s="22"/>
    </row>
    <row r="7" spans="1:12" x14ac:dyDescent="0.45">
      <c r="A7" s="1"/>
      <c r="B7" s="32"/>
      <c r="C7" s="4"/>
      <c r="D7" s="40"/>
      <c r="E7" s="1"/>
      <c r="F7" s="32"/>
      <c r="G7" s="4"/>
      <c r="H7" s="40"/>
      <c r="I7" s="22"/>
      <c r="J7" s="22"/>
    </row>
    <row r="8" spans="1:12" x14ac:dyDescent="0.45">
      <c r="A8" s="1"/>
      <c r="B8" s="32"/>
      <c r="C8" s="4"/>
      <c r="D8" s="40"/>
      <c r="E8" s="1"/>
      <c r="F8" s="32"/>
      <c r="G8" s="4"/>
      <c r="H8" s="40"/>
      <c r="I8" s="22"/>
      <c r="J8" s="22"/>
    </row>
    <row r="9" spans="1:12" x14ac:dyDescent="0.45">
      <c r="A9" s="1"/>
      <c r="B9" s="32"/>
      <c r="C9" s="4"/>
      <c r="D9" s="40"/>
      <c r="E9" s="1"/>
      <c r="F9" s="32"/>
      <c r="G9" s="4"/>
      <c r="H9" s="40"/>
      <c r="I9" s="22"/>
      <c r="J9" s="22"/>
    </row>
    <row r="10" spans="1:12" x14ac:dyDescent="0.45">
      <c r="A10" s="1"/>
      <c r="B10" s="32"/>
      <c r="C10" s="4"/>
      <c r="D10" s="40"/>
      <c r="E10" s="1"/>
      <c r="F10" s="32"/>
      <c r="G10" s="4"/>
      <c r="H10" s="40"/>
      <c r="I10" s="22"/>
      <c r="J10" s="22"/>
    </row>
    <row r="11" spans="1:12" x14ac:dyDescent="0.45">
      <c r="A11" s="1"/>
      <c r="B11" s="32"/>
      <c r="C11" s="4"/>
      <c r="D11" s="40"/>
      <c r="E11" s="1"/>
      <c r="F11" s="32"/>
      <c r="G11" s="4"/>
      <c r="H11" s="40"/>
      <c r="I11" s="22"/>
      <c r="J11" s="22"/>
    </row>
    <row r="12" spans="1:12" x14ac:dyDescent="0.45">
      <c r="A12" s="1"/>
      <c r="B12" s="32"/>
      <c r="C12" s="12"/>
      <c r="D12" s="40"/>
      <c r="E12" s="1"/>
      <c r="F12" s="32"/>
      <c r="G12" s="12"/>
      <c r="H12" s="40"/>
      <c r="I12" s="22"/>
      <c r="J12" s="22"/>
    </row>
    <row r="13" spans="1:12" x14ac:dyDescent="0.45">
      <c r="A13" s="1"/>
      <c r="B13" s="32"/>
      <c r="C13" s="4"/>
      <c r="D13" s="40"/>
      <c r="E13" s="1"/>
      <c r="F13" s="32"/>
      <c r="G13" s="4"/>
      <c r="H13" s="40"/>
      <c r="I13" s="22"/>
      <c r="J13" s="22"/>
    </row>
    <row r="14" spans="1:12" x14ac:dyDescent="0.45">
      <c r="A14" s="1"/>
      <c r="B14" s="32"/>
      <c r="C14" s="12"/>
      <c r="D14" s="40"/>
      <c r="E14" s="1"/>
      <c r="F14" s="32"/>
      <c r="G14" s="12"/>
      <c r="H14" s="40"/>
      <c r="I14" s="22"/>
      <c r="J14" s="22"/>
    </row>
    <row r="15" spans="1:12" x14ac:dyDescent="0.45">
      <c r="A15" s="1"/>
      <c r="B15" s="32"/>
      <c r="C15" s="4"/>
      <c r="D15" s="40"/>
      <c r="E15" s="1"/>
      <c r="F15" s="32"/>
      <c r="G15" s="4"/>
      <c r="H15" s="40"/>
      <c r="I15" s="22"/>
      <c r="J15" s="22"/>
    </row>
    <row r="16" spans="1:12" x14ac:dyDescent="0.45">
      <c r="A16" s="1"/>
      <c r="B16" s="32"/>
      <c r="C16" s="12"/>
      <c r="D16" s="40"/>
      <c r="E16" s="1"/>
      <c r="F16" s="32"/>
      <c r="G16" s="12"/>
      <c r="H16" s="40"/>
      <c r="I16" s="22"/>
      <c r="J16" s="22"/>
    </row>
    <row r="17" spans="1:12" ht="14.65" customHeight="1" x14ac:dyDescent="0.45">
      <c r="A17" s="1"/>
      <c r="B17" s="32"/>
      <c r="C17" s="4"/>
      <c r="D17" s="40"/>
      <c r="E17" s="11"/>
      <c r="F17" s="32"/>
      <c r="G17" s="4"/>
      <c r="H17" s="40"/>
      <c r="I17" s="1"/>
      <c r="J17" s="1"/>
      <c r="K17" s="1"/>
      <c r="L17" s="1"/>
    </row>
    <row r="18" spans="1:12" ht="14.65" customHeight="1" x14ac:dyDescent="0.45">
      <c r="A18" s="1"/>
      <c r="B18" s="32"/>
      <c r="C18" s="4" t="s">
        <v>2</v>
      </c>
      <c r="D18" s="41">
        <f>SUM(Tableau413234251586764[Forecast])</f>
        <v>0</v>
      </c>
      <c r="E18" s="11"/>
      <c r="F18" s="32"/>
      <c r="G18" s="4" t="s">
        <v>2</v>
      </c>
      <c r="H18" s="41">
        <f>SUM(Tableau41323425158676476[Forecast])</f>
        <v>0</v>
      </c>
      <c r="I18" s="1"/>
      <c r="J18" s="1"/>
      <c r="K18" s="1"/>
      <c r="L18" s="1"/>
    </row>
    <row r="19" spans="1:12" ht="16.5" customHeight="1" x14ac:dyDescent="0.45">
      <c r="A19" s="1"/>
      <c r="B19" s="10"/>
      <c r="C19" s="20"/>
      <c r="D19" s="42"/>
      <c r="E19" s="11"/>
      <c r="F19" s="11"/>
      <c r="G19" s="20"/>
      <c r="H19" s="43"/>
      <c r="I19" s="1"/>
      <c r="J19" s="1"/>
      <c r="K19" s="1"/>
      <c r="L19" s="1"/>
    </row>
    <row r="20" spans="1:12" ht="16.899999999999999" customHeight="1" x14ac:dyDescent="0.45">
      <c r="A20" s="1"/>
      <c r="B20" s="44"/>
      <c r="C20" s="11"/>
      <c r="D20" s="11"/>
      <c r="E20" s="23"/>
      <c r="F20" s="44"/>
      <c r="G20" s="29"/>
      <c r="H20" s="29"/>
      <c r="I20" s="23"/>
      <c r="J20" s="23"/>
      <c r="K20" s="23"/>
      <c r="L20" s="23"/>
    </row>
    <row r="21" spans="1:12" ht="18" customHeight="1" x14ac:dyDescent="0.45">
      <c r="A21" s="1"/>
      <c r="B21" s="45" t="s">
        <v>58</v>
      </c>
      <c r="C21" s="3" t="s">
        <v>63</v>
      </c>
      <c r="D21" s="3" t="s">
        <v>56</v>
      </c>
      <c r="E21" s="22"/>
      <c r="F21" s="45" t="s">
        <v>59</v>
      </c>
      <c r="G21" s="3" t="s">
        <v>63</v>
      </c>
      <c r="H21" s="3" t="s">
        <v>56</v>
      </c>
      <c r="I21" s="20"/>
      <c r="J21" s="24"/>
      <c r="K21" s="22"/>
      <c r="L21" s="22"/>
    </row>
    <row r="22" spans="1:12" x14ac:dyDescent="0.45">
      <c r="A22" s="1"/>
      <c r="B22" s="32"/>
      <c r="C22" s="4"/>
      <c r="D22" s="40"/>
      <c r="E22" s="22"/>
      <c r="F22" s="32"/>
      <c r="G22" s="4"/>
      <c r="H22" s="40"/>
      <c r="I22" s="20"/>
      <c r="J22" s="24"/>
      <c r="K22" s="22"/>
      <c r="L22" s="22"/>
    </row>
    <row r="23" spans="1:12" x14ac:dyDescent="0.45">
      <c r="A23" s="1"/>
      <c r="B23" s="32"/>
      <c r="C23" s="4"/>
      <c r="D23" s="40"/>
      <c r="E23" s="22"/>
      <c r="F23" s="32"/>
      <c r="G23" s="4"/>
      <c r="H23" s="40"/>
      <c r="I23" s="20"/>
      <c r="J23" s="24"/>
      <c r="K23" s="22"/>
      <c r="L23" s="22"/>
    </row>
    <row r="24" spans="1:12" ht="14.25" customHeight="1" x14ac:dyDescent="0.45">
      <c r="A24" s="1"/>
      <c r="B24" s="32"/>
      <c r="C24" s="4"/>
      <c r="D24" s="40"/>
      <c r="E24" s="22"/>
      <c r="F24" s="32"/>
      <c r="G24" s="4"/>
      <c r="H24" s="40"/>
      <c r="I24" s="20"/>
      <c r="J24" s="24"/>
      <c r="K24" s="22"/>
      <c r="L24" s="22"/>
    </row>
    <row r="25" spans="1:12" x14ac:dyDescent="0.45">
      <c r="A25" s="1"/>
      <c r="B25" s="32"/>
      <c r="C25" s="4"/>
      <c r="D25" s="40"/>
      <c r="E25" s="22"/>
      <c r="F25" s="32"/>
      <c r="G25" s="4"/>
      <c r="H25" s="40"/>
      <c r="I25" s="20"/>
      <c r="J25" s="24"/>
      <c r="K25" s="22"/>
      <c r="L25" s="22"/>
    </row>
    <row r="26" spans="1:12" x14ac:dyDescent="0.45">
      <c r="A26" s="1"/>
      <c r="B26" s="32"/>
      <c r="C26" s="4"/>
      <c r="D26" s="40"/>
      <c r="E26" s="22"/>
      <c r="F26" s="32"/>
      <c r="G26" s="4"/>
      <c r="H26" s="40"/>
      <c r="I26" s="20"/>
      <c r="J26" s="24"/>
      <c r="K26" s="22"/>
      <c r="L26" s="22"/>
    </row>
    <row r="27" spans="1:12" x14ac:dyDescent="0.45">
      <c r="A27" s="1"/>
      <c r="B27" s="32"/>
      <c r="C27" s="4"/>
      <c r="D27" s="40"/>
      <c r="E27" s="22"/>
      <c r="F27" s="32"/>
      <c r="G27" s="4"/>
      <c r="H27" s="40"/>
      <c r="I27" s="20"/>
      <c r="J27" s="24"/>
      <c r="K27" s="22"/>
      <c r="L27" s="22"/>
    </row>
    <row r="28" spans="1:12" x14ac:dyDescent="0.45">
      <c r="A28" s="1"/>
      <c r="B28" s="32"/>
      <c r="C28" s="4"/>
      <c r="D28" s="40"/>
      <c r="E28" s="22"/>
      <c r="F28" s="32"/>
      <c r="G28" s="4"/>
      <c r="H28" s="40"/>
      <c r="I28" s="20"/>
      <c r="J28" s="21"/>
      <c r="K28" s="22"/>
      <c r="L28" s="22"/>
    </row>
    <row r="29" spans="1:12" x14ac:dyDescent="0.45">
      <c r="B29" s="32"/>
      <c r="C29" s="12"/>
      <c r="D29" s="40"/>
      <c r="F29" s="32"/>
      <c r="G29" s="12"/>
      <c r="H29" s="40"/>
    </row>
    <row r="30" spans="1:12" x14ac:dyDescent="0.45">
      <c r="B30" s="32"/>
      <c r="C30" s="4"/>
      <c r="D30" s="40"/>
      <c r="F30" s="32"/>
      <c r="G30" s="4"/>
      <c r="H30" s="40"/>
    </row>
    <row r="31" spans="1:12" ht="14.25" customHeight="1" x14ac:dyDescent="0.45">
      <c r="B31" s="32"/>
      <c r="C31" s="12"/>
      <c r="D31" s="40"/>
      <c r="E31" s="23"/>
      <c r="F31" s="32"/>
      <c r="G31" s="12"/>
      <c r="H31" s="40"/>
      <c r="I31" s="23"/>
      <c r="J31" s="23"/>
      <c r="K31" s="23"/>
      <c r="L31" s="23"/>
    </row>
    <row r="32" spans="1:12" x14ac:dyDescent="0.45">
      <c r="B32" s="32"/>
      <c r="C32" s="4"/>
      <c r="D32" s="40"/>
      <c r="E32" s="25"/>
      <c r="F32" s="32"/>
      <c r="G32" s="4"/>
      <c r="H32" s="40"/>
      <c r="I32" s="20"/>
      <c r="J32" s="24"/>
      <c r="K32" s="25"/>
      <c r="L32" s="25"/>
    </row>
    <row r="33" spans="2:12" x14ac:dyDescent="0.45">
      <c r="B33" s="32"/>
      <c r="C33" s="4" t="s">
        <v>2</v>
      </c>
      <c r="D33" s="46">
        <f>SUM(Tableau41323425158676477[Forecast])</f>
        <v>0</v>
      </c>
      <c r="E33" s="22"/>
      <c r="F33" s="32"/>
      <c r="G33" s="4" t="s">
        <v>2</v>
      </c>
      <c r="H33" s="46">
        <f>SUM(Tableau4132342515867647786[Forecast])</f>
        <v>0</v>
      </c>
      <c r="I33" s="20"/>
      <c r="J33" s="24"/>
      <c r="K33" s="22"/>
      <c r="L33" s="22"/>
    </row>
    <row r="34" spans="2:12" ht="16.5" customHeight="1" x14ac:dyDescent="0.45">
      <c r="B34" s="47"/>
      <c r="E34" s="22"/>
      <c r="G34" s="20"/>
      <c r="H34" s="43"/>
      <c r="I34" s="20"/>
      <c r="J34" s="24"/>
      <c r="K34" s="22"/>
      <c r="L34" s="22"/>
    </row>
    <row r="35" spans="2:12" ht="16.149999999999999" customHeight="1" x14ac:dyDescent="0.45">
      <c r="B35" s="47"/>
      <c r="E35" s="22"/>
      <c r="G35" s="20"/>
      <c r="H35" s="43"/>
      <c r="I35" s="20"/>
      <c r="J35" s="24"/>
      <c r="K35" s="22"/>
      <c r="L35" s="22"/>
    </row>
    <row r="36" spans="2:12" ht="14.65" customHeight="1" x14ac:dyDescent="0.45">
      <c r="B36" s="48" t="s">
        <v>60</v>
      </c>
      <c r="C36" s="3" t="s">
        <v>63</v>
      </c>
      <c r="D36" s="3" t="s">
        <v>56</v>
      </c>
      <c r="E36" s="22"/>
      <c r="F36" s="48" t="s">
        <v>61</v>
      </c>
      <c r="G36" s="3" t="s">
        <v>63</v>
      </c>
      <c r="H36" s="3" t="s">
        <v>56</v>
      </c>
      <c r="I36" s="20"/>
      <c r="J36" s="24"/>
      <c r="K36" s="22"/>
      <c r="L36" s="22"/>
    </row>
    <row r="37" spans="2:12" x14ac:dyDescent="0.45">
      <c r="B37" s="32"/>
      <c r="C37" s="4"/>
      <c r="D37" s="40"/>
      <c r="E37" s="22"/>
      <c r="F37" s="32"/>
      <c r="G37" s="4"/>
      <c r="H37" s="40"/>
      <c r="I37" s="20"/>
      <c r="J37" s="24"/>
      <c r="K37" s="22"/>
      <c r="L37" s="22"/>
    </row>
    <row r="38" spans="2:12" x14ac:dyDescent="0.45">
      <c r="B38" s="32"/>
      <c r="C38" s="4"/>
      <c r="D38" s="40"/>
      <c r="E38" s="22"/>
      <c r="F38" s="32"/>
      <c r="G38" s="4"/>
      <c r="H38" s="40"/>
      <c r="I38" s="20"/>
      <c r="J38" s="24"/>
      <c r="K38" s="22"/>
      <c r="L38" s="22"/>
    </row>
    <row r="39" spans="2:12" ht="15" customHeight="1" x14ac:dyDescent="0.45">
      <c r="B39" s="32"/>
      <c r="C39" s="4"/>
      <c r="D39" s="40"/>
      <c r="E39" s="22"/>
      <c r="F39" s="32"/>
      <c r="G39" s="4"/>
      <c r="H39" s="40"/>
      <c r="I39" s="20"/>
      <c r="J39" s="24"/>
      <c r="K39" s="22"/>
      <c r="L39" s="22"/>
    </row>
    <row r="40" spans="2:12" x14ac:dyDescent="0.45">
      <c r="B40" s="32"/>
      <c r="C40" s="4"/>
      <c r="D40" s="40"/>
      <c r="E40" s="22"/>
      <c r="F40" s="32"/>
      <c r="G40" s="4"/>
      <c r="H40" s="40"/>
      <c r="I40" s="20"/>
      <c r="J40" s="21"/>
      <c r="K40" s="22"/>
      <c r="L40" s="22"/>
    </row>
    <row r="41" spans="2:12" ht="14.65" customHeight="1" x14ac:dyDescent="0.45">
      <c r="B41" s="32"/>
      <c r="C41" s="4"/>
      <c r="D41" s="40"/>
      <c r="F41" s="32"/>
      <c r="G41" s="4"/>
      <c r="H41" s="40"/>
    </row>
    <row r="42" spans="2:12" x14ac:dyDescent="0.45">
      <c r="B42" s="32"/>
      <c r="C42" s="4"/>
      <c r="D42" s="40"/>
      <c r="E42" s="16"/>
      <c r="F42" s="32"/>
      <c r="G42" s="4"/>
      <c r="H42" s="40"/>
    </row>
    <row r="43" spans="2:12" ht="14.25" customHeight="1" x14ac:dyDescent="0.45">
      <c r="B43" s="32"/>
      <c r="C43" s="4"/>
      <c r="D43" s="40"/>
      <c r="E43" s="23"/>
      <c r="F43" s="32"/>
      <c r="G43" s="4"/>
      <c r="H43" s="40"/>
      <c r="I43" s="23"/>
      <c r="J43" s="23"/>
      <c r="K43" s="23"/>
      <c r="L43" s="23"/>
    </row>
    <row r="44" spans="2:12" x14ac:dyDescent="0.45">
      <c r="B44" s="32"/>
      <c r="C44" s="12"/>
      <c r="D44" s="40"/>
      <c r="E44" s="25"/>
      <c r="F44" s="32"/>
      <c r="G44" s="12"/>
      <c r="H44" s="40"/>
      <c r="I44" s="20"/>
      <c r="J44" s="24"/>
      <c r="K44" s="25"/>
      <c r="L44" s="25"/>
    </row>
    <row r="45" spans="2:12" x14ac:dyDescent="0.45">
      <c r="B45" s="32"/>
      <c r="C45" s="4"/>
      <c r="D45" s="40"/>
      <c r="E45" s="22"/>
      <c r="F45" s="32"/>
      <c r="G45" s="4"/>
      <c r="H45" s="40"/>
      <c r="I45" s="20"/>
      <c r="J45" s="24"/>
      <c r="K45" s="22"/>
      <c r="L45" s="22"/>
    </row>
    <row r="46" spans="2:12" x14ac:dyDescent="0.45">
      <c r="B46" s="32"/>
      <c r="C46" s="4" t="s">
        <v>2</v>
      </c>
      <c r="D46" s="46">
        <f>SUM(Tableau4132342515867647787[Forecast])</f>
        <v>0</v>
      </c>
      <c r="E46" s="22"/>
      <c r="F46" s="32"/>
      <c r="G46" s="4" t="s">
        <v>2</v>
      </c>
      <c r="H46" s="46">
        <f>SUM(Tableau413234251586764778788[Forecast])</f>
        <v>0</v>
      </c>
      <c r="I46" s="20"/>
      <c r="J46" s="24"/>
      <c r="K46" s="22"/>
      <c r="L46" s="22"/>
    </row>
    <row r="47" spans="2:12" ht="16.5" customHeight="1" x14ac:dyDescent="0.45">
      <c r="B47" s="47"/>
      <c r="C47" s="20"/>
      <c r="D47" s="43"/>
      <c r="E47" s="22"/>
      <c r="F47" s="47"/>
      <c r="I47" s="20"/>
      <c r="J47" s="24"/>
      <c r="K47" s="22"/>
      <c r="L47" s="22"/>
    </row>
    <row r="48" spans="2:12" ht="16.149999999999999" customHeight="1" x14ac:dyDescent="0.45">
      <c r="B48" s="47"/>
      <c r="C48" s="20"/>
      <c r="D48" s="43"/>
      <c r="E48" s="22"/>
      <c r="F48" s="47"/>
      <c r="I48" s="20"/>
      <c r="J48" s="24"/>
      <c r="K48" s="22"/>
      <c r="L48" s="22"/>
    </row>
    <row r="49" spans="2:12" ht="18" customHeight="1" x14ac:dyDescent="0.45">
      <c r="B49" s="48" t="s">
        <v>62</v>
      </c>
      <c r="C49" s="3" t="s">
        <v>63</v>
      </c>
      <c r="D49" s="3" t="s">
        <v>56</v>
      </c>
      <c r="E49" s="22"/>
      <c r="F49" s="48" t="s">
        <v>44</v>
      </c>
      <c r="G49" s="3" t="s">
        <v>63</v>
      </c>
      <c r="H49" s="3" t="s">
        <v>56</v>
      </c>
      <c r="I49" s="20"/>
      <c r="J49" s="24"/>
      <c r="K49" s="22"/>
      <c r="L49" s="22"/>
    </row>
    <row r="50" spans="2:12" x14ac:dyDescent="0.45">
      <c r="B50" s="32"/>
      <c r="C50" s="4"/>
      <c r="D50" s="40"/>
      <c r="E50" s="22"/>
      <c r="F50" s="32"/>
      <c r="G50" s="4"/>
      <c r="H50" s="40"/>
      <c r="I50" s="20"/>
      <c r="J50" s="21"/>
      <c r="K50" s="22"/>
      <c r="L50" s="22"/>
    </row>
    <row r="51" spans="2:12" x14ac:dyDescent="0.45">
      <c r="B51" s="32"/>
      <c r="C51" s="4"/>
      <c r="D51" s="40"/>
      <c r="F51" s="32"/>
      <c r="G51" s="4"/>
      <c r="H51" s="40"/>
    </row>
    <row r="52" spans="2:12" x14ac:dyDescent="0.45">
      <c r="B52" s="32"/>
      <c r="C52" s="4"/>
      <c r="D52" s="40"/>
      <c r="E52" s="16"/>
      <c r="F52" s="32"/>
      <c r="G52" s="4"/>
      <c r="H52" s="40"/>
      <c r="K52" s="16"/>
    </row>
    <row r="53" spans="2:12" ht="14.25" customHeight="1" x14ac:dyDescent="0.45">
      <c r="B53" s="32"/>
      <c r="C53" s="4"/>
      <c r="D53" s="40"/>
      <c r="E53" s="23"/>
      <c r="F53" s="32"/>
      <c r="G53" s="4"/>
      <c r="H53" s="40"/>
      <c r="I53" s="23"/>
      <c r="J53" s="23"/>
      <c r="K53" s="23"/>
      <c r="L53" s="23"/>
    </row>
    <row r="54" spans="2:12" x14ac:dyDescent="0.45">
      <c r="B54" s="32"/>
      <c r="C54" s="4"/>
      <c r="D54" s="40"/>
      <c r="E54" s="25"/>
      <c r="F54" s="32"/>
      <c r="G54" s="4"/>
      <c r="H54" s="40"/>
      <c r="I54" s="20"/>
      <c r="J54" s="24"/>
      <c r="K54" s="25"/>
      <c r="L54" s="25"/>
    </row>
    <row r="55" spans="2:12" x14ac:dyDescent="0.45">
      <c r="B55" s="32"/>
      <c r="C55" s="4"/>
      <c r="D55" s="40"/>
      <c r="E55" s="22"/>
      <c r="F55" s="32"/>
      <c r="G55" s="4"/>
      <c r="H55" s="40"/>
      <c r="I55" s="20"/>
      <c r="J55" s="24"/>
      <c r="K55" s="22"/>
      <c r="L55" s="22"/>
    </row>
    <row r="56" spans="2:12" x14ac:dyDescent="0.45">
      <c r="B56" s="32"/>
      <c r="C56" s="4"/>
      <c r="D56" s="40"/>
      <c r="E56" s="22"/>
      <c r="F56" s="32"/>
      <c r="G56" s="4"/>
      <c r="H56" s="40"/>
      <c r="I56" s="20"/>
      <c r="J56" s="24"/>
      <c r="K56" s="22"/>
      <c r="L56" s="22"/>
    </row>
    <row r="57" spans="2:12" x14ac:dyDescent="0.45">
      <c r="B57" s="32"/>
      <c r="C57" s="12"/>
      <c r="D57" s="40"/>
      <c r="E57" s="22"/>
      <c r="F57" s="32"/>
      <c r="G57" s="12"/>
      <c r="H57" s="40"/>
      <c r="I57" s="20"/>
      <c r="J57" s="24"/>
      <c r="K57" s="22"/>
      <c r="L57" s="22"/>
    </row>
    <row r="58" spans="2:12" x14ac:dyDescent="0.45">
      <c r="B58" s="32"/>
      <c r="C58" s="4"/>
      <c r="D58" s="40"/>
      <c r="E58" s="22"/>
      <c r="F58" s="32"/>
      <c r="G58" s="4"/>
      <c r="H58" s="40"/>
      <c r="I58" s="20"/>
      <c r="J58" s="24"/>
      <c r="K58" s="22"/>
      <c r="L58" s="22"/>
    </row>
    <row r="59" spans="2:12" x14ac:dyDescent="0.45">
      <c r="B59" s="32"/>
      <c r="C59" s="4" t="s">
        <v>2</v>
      </c>
      <c r="D59" s="46">
        <f>SUM(Tableau413234251586764778789[Forecast])</f>
        <v>0</v>
      </c>
      <c r="E59" s="22"/>
      <c r="F59" s="32"/>
      <c r="G59" s="4" t="s">
        <v>2</v>
      </c>
      <c r="H59" s="46">
        <f>SUM(Tableau41323425158676477878990[Forecast])</f>
        <v>0</v>
      </c>
      <c r="I59" s="20"/>
      <c r="J59" s="24"/>
      <c r="K59" s="22"/>
      <c r="L59" s="22"/>
    </row>
    <row r="60" spans="2:12" ht="16.149999999999999" customHeight="1" x14ac:dyDescent="0.45">
      <c r="B60" s="47"/>
      <c r="C60" s="20"/>
      <c r="D60" s="43"/>
      <c r="E60" s="22"/>
      <c r="F60" s="47"/>
      <c r="I60" s="20"/>
      <c r="J60" s="24"/>
      <c r="K60" s="22"/>
      <c r="L60" s="22"/>
    </row>
    <row r="61" spans="2:12" ht="16.149999999999999" customHeight="1" x14ac:dyDescent="0.45">
      <c r="B61" s="47"/>
      <c r="C61" s="20"/>
      <c r="D61" s="43"/>
      <c r="E61" s="22"/>
      <c r="F61" s="47"/>
      <c r="G61" s="23"/>
      <c r="H61" s="23"/>
      <c r="I61" s="20"/>
      <c r="J61" s="24"/>
      <c r="K61" s="22"/>
      <c r="L61" s="22"/>
    </row>
    <row r="62" spans="2:12" ht="18" customHeight="1" x14ac:dyDescent="0.45">
      <c r="B62" s="48" t="s">
        <v>52</v>
      </c>
      <c r="C62" s="3" t="s">
        <v>63</v>
      </c>
      <c r="D62" s="3" t="s">
        <v>56</v>
      </c>
      <c r="E62" s="22"/>
      <c r="F62" s="50"/>
      <c r="G62" s="23"/>
      <c r="H62" s="23"/>
      <c r="I62" s="20"/>
      <c r="J62" s="21"/>
      <c r="K62" s="22"/>
      <c r="L62" s="22"/>
    </row>
    <row r="63" spans="2:12" x14ac:dyDescent="0.45">
      <c r="B63" s="32"/>
      <c r="C63" s="4"/>
      <c r="D63" s="40"/>
      <c r="F63" s="32"/>
      <c r="G63" s="20"/>
      <c r="H63" s="51"/>
    </row>
    <row r="64" spans="2:12" x14ac:dyDescent="0.45">
      <c r="B64" s="32"/>
      <c r="C64" s="4"/>
      <c r="D64" s="40"/>
      <c r="F64" s="32"/>
      <c r="G64" s="20"/>
      <c r="H64" s="51"/>
    </row>
    <row r="65" spans="2:8" ht="14.65" customHeight="1" x14ac:dyDescent="0.45">
      <c r="B65" s="32"/>
      <c r="C65" s="4"/>
      <c r="D65" s="40"/>
      <c r="E65" s="23"/>
      <c r="F65" s="32"/>
      <c r="G65" s="20"/>
      <c r="H65" s="51"/>
    </row>
    <row r="66" spans="2:8" x14ac:dyDescent="0.45">
      <c r="B66" s="32"/>
      <c r="C66" s="4"/>
      <c r="D66" s="40"/>
      <c r="E66" s="25"/>
      <c r="F66" s="32"/>
      <c r="G66" s="20"/>
      <c r="H66" s="51"/>
    </row>
    <row r="67" spans="2:8" x14ac:dyDescent="0.45">
      <c r="B67" s="32"/>
      <c r="C67" s="4"/>
      <c r="D67" s="40"/>
      <c r="E67" s="22"/>
      <c r="F67" s="32"/>
      <c r="G67" s="20"/>
      <c r="H67" s="51"/>
    </row>
    <row r="68" spans="2:8" x14ac:dyDescent="0.45">
      <c r="B68" s="32"/>
      <c r="C68" s="4"/>
      <c r="D68" s="40"/>
      <c r="E68" s="22"/>
      <c r="F68" s="32"/>
      <c r="G68" s="20"/>
      <c r="H68" s="51"/>
    </row>
    <row r="69" spans="2:8" x14ac:dyDescent="0.45">
      <c r="B69" s="32"/>
      <c r="C69" s="4"/>
      <c r="D69" s="40"/>
      <c r="E69" s="22"/>
      <c r="F69" s="32"/>
      <c r="G69" s="20"/>
      <c r="H69" s="51"/>
    </row>
    <row r="70" spans="2:8" x14ac:dyDescent="0.45">
      <c r="B70" s="32"/>
      <c r="C70" s="4" t="s">
        <v>2</v>
      </c>
      <c r="D70" s="46">
        <f>SUM(Tableau41323425158676477878991[Forecast])</f>
        <v>0</v>
      </c>
      <c r="E70" s="22"/>
      <c r="F70" s="32"/>
      <c r="G70" s="20"/>
      <c r="H70" s="42"/>
    </row>
    <row r="71" spans="2:8" ht="16.5" customHeight="1" x14ac:dyDescent="0.45">
      <c r="B71" s="49"/>
      <c r="C71" s="20"/>
      <c r="D71" s="43"/>
      <c r="E71" s="22"/>
      <c r="F71" s="49"/>
    </row>
    <row r="72" spans="2:8" ht="15.75" customHeight="1" x14ac:dyDescent="0.45">
      <c r="B72" s="49"/>
      <c r="C72" s="20"/>
      <c r="D72" s="43"/>
      <c r="E72" s="22"/>
      <c r="F72" s="49"/>
    </row>
    <row r="73" spans="2:8" ht="14.65" customHeight="1" x14ac:dyDescent="0.45">
      <c r="B73" s="50"/>
      <c r="C73" s="23"/>
      <c r="D73" s="23"/>
      <c r="E73" s="22"/>
      <c r="F73" s="22"/>
    </row>
    <row r="74" spans="2:8" ht="14.65" customHeight="1" x14ac:dyDescent="0.45">
      <c r="B74" s="32"/>
      <c r="C74" s="20"/>
      <c r="D74" s="51"/>
      <c r="E74" s="22"/>
      <c r="F74" s="22"/>
    </row>
    <row r="75" spans="2:8" ht="14.25" customHeight="1" x14ac:dyDescent="0.45">
      <c r="B75" s="32"/>
      <c r="C75" s="20"/>
      <c r="D75" s="51"/>
    </row>
    <row r="76" spans="2:8" x14ac:dyDescent="0.45">
      <c r="B76" s="32"/>
      <c r="C76" s="20"/>
      <c r="D76" s="51"/>
    </row>
    <row r="77" spans="2:8" x14ac:dyDescent="0.45">
      <c r="B77" s="32"/>
      <c r="C77" s="20"/>
      <c r="D77" s="51"/>
    </row>
    <row r="78" spans="2:8" x14ac:dyDescent="0.45">
      <c r="B78" s="32"/>
      <c r="C78" s="20"/>
      <c r="D78" s="51"/>
    </row>
    <row r="79" spans="2:8" x14ac:dyDescent="0.45">
      <c r="B79" s="32"/>
      <c r="C79" s="20"/>
      <c r="D79" s="51"/>
    </row>
    <row r="80" spans="2:8" x14ac:dyDescent="0.45">
      <c r="B80" s="32"/>
      <c r="C80" s="20"/>
      <c r="D80" s="51"/>
    </row>
    <row r="81" spans="2:4" x14ac:dyDescent="0.45">
      <c r="B81" s="32"/>
      <c r="C81" s="52"/>
      <c r="D81" s="51"/>
    </row>
    <row r="82" spans="2:4" x14ac:dyDescent="0.45">
      <c r="B82" s="32"/>
      <c r="C82" s="20"/>
      <c r="D82" s="51"/>
    </row>
    <row r="83" spans="2:4" x14ac:dyDescent="0.45">
      <c r="B83" s="32"/>
      <c r="C83" s="20"/>
      <c r="D83" s="42"/>
    </row>
    <row r="84" spans="2:4" x14ac:dyDescent="0.45">
      <c r="B84" s="49"/>
    </row>
    <row r="85" spans="2:4" x14ac:dyDescent="0.45">
      <c r="B85" s="49"/>
    </row>
  </sheetData>
  <mergeCells count="12">
    <mergeCell ref="B49:B59"/>
    <mergeCell ref="F49:F59"/>
    <mergeCell ref="B62:B70"/>
    <mergeCell ref="F62:F70"/>
    <mergeCell ref="B73:B83"/>
    <mergeCell ref="C2:D2"/>
    <mergeCell ref="B4:B18"/>
    <mergeCell ref="F4:F18"/>
    <mergeCell ref="B21:B33"/>
    <mergeCell ref="F21:F33"/>
    <mergeCell ref="B36:B46"/>
    <mergeCell ref="F36:F46"/>
  </mergeCells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zoomScale="66" workbookViewId="0">
      <selection activeCell="F4" sqref="F4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40.59765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40.59765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12</v>
      </c>
      <c r="D2" s="32"/>
      <c r="E2" s="32"/>
      <c r="F2" s="32"/>
      <c r="G2" s="1"/>
      <c r="H2" s="2"/>
      <c r="I2" s="19" t="s">
        <v>0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13</v>
      </c>
      <c r="C4" s="3" t="s">
        <v>21</v>
      </c>
      <c r="D4" s="3" t="s">
        <v>1</v>
      </c>
      <c r="E4" s="3" t="s">
        <v>22</v>
      </c>
      <c r="F4" s="3" t="s">
        <v>23</v>
      </c>
      <c r="G4" s="1"/>
      <c r="H4" s="33" t="s">
        <v>14</v>
      </c>
      <c r="I4" s="3" t="s">
        <v>21</v>
      </c>
      <c r="J4" s="3" t="s">
        <v>1</v>
      </c>
      <c r="K4" s="3" t="s">
        <v>22</v>
      </c>
      <c r="L4" s="3" t="s">
        <v>23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x14ac:dyDescent="0.45">
      <c r="A13" s="1"/>
      <c r="B13" s="32"/>
      <c r="C13" s="4" t="s">
        <v>2</v>
      </c>
      <c r="D13" s="8"/>
      <c r="E13" s="6">
        <f>SUBTOTAL(9,Tableau4132342515867[Revenues])</f>
        <v>0</v>
      </c>
      <c r="F13" s="6">
        <f>SUBTOTAL(9,Tableau4132342515867[Expenses])</f>
        <v>0</v>
      </c>
      <c r="G13" s="1"/>
      <c r="H13" s="32"/>
      <c r="I13" s="4" t="s">
        <v>2</v>
      </c>
      <c r="J13" s="8"/>
      <c r="K13" s="6">
        <f>SUBTOTAL(9,Tableau44616264554617014[Revenues])</f>
        <v>0</v>
      </c>
      <c r="L13" s="6">
        <f>SUBTOTAL(9,Tableau44616264554617014[Expenses])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3" t="s">
        <v>3</v>
      </c>
      <c r="C16" s="3" t="s">
        <v>21</v>
      </c>
      <c r="D16" s="3" t="s">
        <v>1</v>
      </c>
      <c r="E16" s="3" t="s">
        <v>22</v>
      </c>
      <c r="F16" s="3" t="s">
        <v>23</v>
      </c>
      <c r="G16" s="1"/>
      <c r="H16" s="33" t="s">
        <v>15</v>
      </c>
      <c r="I16" s="3" t="s">
        <v>21</v>
      </c>
      <c r="J16" s="3" t="s">
        <v>1</v>
      </c>
      <c r="K16" s="3" t="s">
        <v>22</v>
      </c>
      <c r="L16" s="3" t="s">
        <v>23</v>
      </c>
    </row>
    <row r="17" spans="1:12" x14ac:dyDescent="0.45">
      <c r="A17" s="1"/>
      <c r="B17" s="32"/>
      <c r="C17" s="4"/>
      <c r="D17" s="5"/>
      <c r="E17" s="7"/>
      <c r="F17" s="7"/>
      <c r="G17" s="1"/>
      <c r="H17" s="32"/>
      <c r="I17" s="4"/>
      <c r="J17" s="5"/>
      <c r="K17" s="7"/>
      <c r="L17" s="7"/>
    </row>
    <row r="18" spans="1:12" x14ac:dyDescent="0.45">
      <c r="A18" s="1"/>
      <c r="B18" s="32"/>
      <c r="C18" s="4"/>
      <c r="D18" s="5"/>
      <c r="E18" s="6"/>
      <c r="F18" s="6"/>
      <c r="G18" s="1"/>
      <c r="H18" s="32"/>
      <c r="I18" s="4"/>
      <c r="J18" s="5"/>
      <c r="K18" s="6"/>
      <c r="L18" s="6"/>
    </row>
    <row r="19" spans="1:12" x14ac:dyDescent="0.45">
      <c r="A19" s="1"/>
      <c r="B19" s="32"/>
      <c r="C19" s="4"/>
      <c r="D19" s="5"/>
      <c r="E19" s="6"/>
      <c r="F19" s="6"/>
      <c r="G19" s="1"/>
      <c r="H19" s="32"/>
      <c r="I19" s="4"/>
      <c r="J19" s="5"/>
      <c r="K19" s="6"/>
      <c r="L19" s="6"/>
    </row>
    <row r="20" spans="1:12" x14ac:dyDescent="0.45">
      <c r="A20" s="1"/>
      <c r="B20" s="32"/>
      <c r="C20" s="4"/>
      <c r="D20" s="5"/>
      <c r="E20" s="6"/>
      <c r="F20" s="6"/>
      <c r="G20" s="1"/>
      <c r="H20" s="32"/>
      <c r="I20" s="4"/>
      <c r="J20" s="5"/>
      <c r="K20" s="6"/>
      <c r="L20" s="6"/>
    </row>
    <row r="21" spans="1:12" x14ac:dyDescent="0.45">
      <c r="A21" s="1"/>
      <c r="B21" s="32"/>
      <c r="C21" s="4"/>
      <c r="D21" s="5"/>
      <c r="E21" s="6"/>
      <c r="F21" s="6"/>
      <c r="G21" s="1"/>
      <c r="H21" s="32"/>
      <c r="I21" s="4"/>
      <c r="J21" s="5"/>
      <c r="K21" s="6"/>
      <c r="L21" s="6"/>
    </row>
    <row r="22" spans="1:12" x14ac:dyDescent="0.45">
      <c r="A22" s="1"/>
      <c r="B22" s="32"/>
      <c r="C22" s="4"/>
      <c r="D22" s="5"/>
      <c r="E22" s="6"/>
      <c r="F22" s="6"/>
      <c r="G22" s="1"/>
      <c r="H22" s="32"/>
      <c r="I22" s="4"/>
      <c r="J22" s="5"/>
      <c r="K22" s="6"/>
      <c r="L22" s="6"/>
    </row>
    <row r="23" spans="1:12" x14ac:dyDescent="0.45">
      <c r="A23" s="1"/>
      <c r="B23" s="32"/>
      <c r="C23" s="4"/>
      <c r="D23" s="5"/>
      <c r="E23" s="6"/>
      <c r="F23" s="6"/>
      <c r="G23" s="1"/>
      <c r="H23" s="32"/>
      <c r="I23" s="4"/>
      <c r="J23" s="5"/>
      <c r="K23" s="6"/>
      <c r="L23" s="6"/>
    </row>
    <row r="24" spans="1:12" x14ac:dyDescent="0.45">
      <c r="A24" s="1"/>
      <c r="B24" s="32"/>
      <c r="C24" s="4"/>
      <c r="D24" s="5"/>
      <c r="E24" s="6"/>
      <c r="F24" s="6"/>
      <c r="G24" s="1"/>
      <c r="H24" s="32"/>
      <c r="I24" s="4"/>
      <c r="J24" s="5"/>
      <c r="K24" s="6"/>
      <c r="L24" s="6"/>
    </row>
    <row r="25" spans="1:12" x14ac:dyDescent="0.45">
      <c r="A25" s="1"/>
      <c r="B25" s="32"/>
      <c r="C25" s="4" t="s">
        <v>2</v>
      </c>
      <c r="D25" s="8"/>
      <c r="E25" s="6">
        <f>SUBTOTAL(9,Tableau446162645546170[Revenues])</f>
        <v>0</v>
      </c>
      <c r="F25" s="6">
        <f>SUBTOTAL(9,Tableau446162645546170[Expenses])</f>
        <v>0</v>
      </c>
      <c r="G25" s="1"/>
      <c r="H25" s="32"/>
      <c r="I25" s="4" t="s">
        <v>2</v>
      </c>
      <c r="J25" s="8"/>
      <c r="K25" s="6">
        <f>SUBTOTAL(9,Tableau44616264554617020[Revenues])</f>
        <v>0</v>
      </c>
      <c r="L25" s="6">
        <f>SUBTOTAL(9,Tableau44616264554617020[Expenses])</f>
        <v>0</v>
      </c>
    </row>
    <row r="28" spans="1:12" ht="18" customHeight="1" x14ac:dyDescent="0.45">
      <c r="B28" s="33" t="s">
        <v>16</v>
      </c>
      <c r="C28" s="3" t="s">
        <v>21</v>
      </c>
      <c r="D28" s="3" t="s">
        <v>1</v>
      </c>
      <c r="E28" s="3" t="s">
        <v>22</v>
      </c>
      <c r="F28" s="3" t="s">
        <v>23</v>
      </c>
      <c r="H28" s="33" t="s">
        <v>4</v>
      </c>
      <c r="I28" s="3" t="s">
        <v>21</v>
      </c>
      <c r="J28" s="3" t="s">
        <v>1</v>
      </c>
      <c r="K28" s="3" t="s">
        <v>22</v>
      </c>
      <c r="L28" s="3" t="s">
        <v>23</v>
      </c>
    </row>
    <row r="29" spans="1:12" x14ac:dyDescent="0.45">
      <c r="B29" s="32"/>
      <c r="C29" s="4"/>
      <c r="D29" s="5"/>
      <c r="E29" s="7"/>
      <c r="F29" s="7"/>
      <c r="H29" s="32"/>
      <c r="I29" s="4"/>
      <c r="J29" s="5"/>
      <c r="K29" s="7"/>
      <c r="L29" s="7"/>
    </row>
    <row r="30" spans="1:12" x14ac:dyDescent="0.45">
      <c r="B30" s="32"/>
      <c r="C30" s="4"/>
      <c r="D30" s="5"/>
      <c r="E30" s="6"/>
      <c r="F30" s="6"/>
      <c r="H30" s="32"/>
      <c r="I30" s="4"/>
      <c r="J30" s="5"/>
      <c r="K30" s="6"/>
      <c r="L30" s="6"/>
    </row>
    <row r="31" spans="1:12" x14ac:dyDescent="0.45">
      <c r="B31" s="32"/>
      <c r="C31" s="4"/>
      <c r="D31" s="5"/>
      <c r="E31" s="6"/>
      <c r="F31" s="6"/>
      <c r="H31" s="32"/>
      <c r="I31" s="4"/>
      <c r="J31" s="5"/>
      <c r="K31" s="6"/>
      <c r="L31" s="6"/>
    </row>
    <row r="32" spans="1:12" x14ac:dyDescent="0.45">
      <c r="B32" s="32"/>
      <c r="C32" s="4"/>
      <c r="D32" s="5"/>
      <c r="E32" s="6"/>
      <c r="F32" s="6"/>
      <c r="H32" s="32"/>
      <c r="I32" s="4"/>
      <c r="J32" s="5"/>
      <c r="K32" s="6"/>
      <c r="L32" s="6"/>
    </row>
    <row r="33" spans="2:12" x14ac:dyDescent="0.45">
      <c r="B33" s="32"/>
      <c r="C33" s="4"/>
      <c r="D33" s="5"/>
      <c r="E33" s="6"/>
      <c r="F33" s="6"/>
      <c r="H33" s="32"/>
      <c r="I33" s="4"/>
      <c r="J33" s="5"/>
      <c r="K33" s="6"/>
      <c r="L33" s="6"/>
    </row>
    <row r="34" spans="2:12" x14ac:dyDescent="0.45">
      <c r="B34" s="32"/>
      <c r="C34" s="4"/>
      <c r="D34" s="5"/>
      <c r="E34" s="6"/>
      <c r="F34" s="6"/>
      <c r="H34" s="32"/>
      <c r="I34" s="4"/>
      <c r="J34" s="5"/>
      <c r="K34" s="6"/>
      <c r="L34" s="6"/>
    </row>
    <row r="35" spans="2:12" x14ac:dyDescent="0.45">
      <c r="B35" s="32"/>
      <c r="C35" s="4"/>
      <c r="D35" s="5"/>
      <c r="E35" s="6"/>
      <c r="F35" s="6"/>
      <c r="H35" s="32"/>
      <c r="I35" s="4"/>
      <c r="J35" s="5"/>
      <c r="K35" s="6"/>
      <c r="L35" s="6"/>
    </row>
    <row r="36" spans="2:12" x14ac:dyDescent="0.45">
      <c r="B36" s="32"/>
      <c r="C36" s="4"/>
      <c r="D36" s="5"/>
      <c r="E36" s="6"/>
      <c r="F36" s="6"/>
      <c r="H36" s="32"/>
      <c r="I36" s="4"/>
      <c r="J36" s="5"/>
      <c r="K36" s="6"/>
      <c r="L36" s="6"/>
    </row>
    <row r="37" spans="2:12" x14ac:dyDescent="0.45">
      <c r="B37" s="32"/>
      <c r="C37" s="4" t="s">
        <v>2</v>
      </c>
      <c r="D37" s="8"/>
      <c r="E37" s="6">
        <f>SUBTOTAL(9,Tableau44616264554617021[Revenues])</f>
        <v>0</v>
      </c>
      <c r="F37" s="6">
        <f>SUBTOTAL(9,Tableau44616264554617021[Expenses])</f>
        <v>0</v>
      </c>
      <c r="H37" s="32"/>
      <c r="I37" s="4" t="s">
        <v>2</v>
      </c>
      <c r="J37" s="8"/>
      <c r="K37" s="6">
        <f>SUBTOTAL(9,Tableau44616264554617022[Revenues])</f>
        <v>0</v>
      </c>
      <c r="L37" s="6">
        <f>SUBTOTAL(9,Tableau44616264554617022[Expenses])</f>
        <v>0</v>
      </c>
    </row>
    <row r="39" spans="2:12" x14ac:dyDescent="0.45">
      <c r="E39" s="16"/>
    </row>
    <row r="40" spans="2:12" ht="18" customHeight="1" x14ac:dyDescent="0.45">
      <c r="B40" s="33" t="s">
        <v>17</v>
      </c>
      <c r="C40" s="3" t="s">
        <v>21</v>
      </c>
      <c r="D40" s="3" t="s">
        <v>1</v>
      </c>
      <c r="E40" s="3" t="s">
        <v>22</v>
      </c>
      <c r="F40" s="3" t="s">
        <v>23</v>
      </c>
      <c r="H40" s="33" t="s">
        <v>18</v>
      </c>
      <c r="I40" s="3" t="s">
        <v>21</v>
      </c>
      <c r="J40" s="3" t="s">
        <v>1</v>
      </c>
      <c r="K40" s="3" t="s">
        <v>22</v>
      </c>
      <c r="L40" s="3" t="s">
        <v>23</v>
      </c>
    </row>
    <row r="41" spans="2:12" x14ac:dyDescent="0.45">
      <c r="B41" s="32"/>
      <c r="C41" s="4"/>
      <c r="D41" s="5"/>
      <c r="E41" s="7"/>
      <c r="F41" s="7"/>
      <c r="H41" s="32"/>
      <c r="I41" s="4"/>
      <c r="J41" s="5"/>
      <c r="K41" s="7"/>
      <c r="L41" s="7"/>
    </row>
    <row r="42" spans="2:12" x14ac:dyDescent="0.45">
      <c r="B42" s="32"/>
      <c r="C42" s="4"/>
      <c r="D42" s="5"/>
      <c r="E42" s="6"/>
      <c r="F42" s="6"/>
      <c r="H42" s="32"/>
      <c r="I42" s="4"/>
      <c r="J42" s="5"/>
      <c r="K42" s="6"/>
      <c r="L42" s="6"/>
    </row>
    <row r="43" spans="2:12" x14ac:dyDescent="0.45">
      <c r="B43" s="32"/>
      <c r="C43" s="4"/>
      <c r="D43" s="5"/>
      <c r="E43" s="6"/>
      <c r="F43" s="6"/>
      <c r="H43" s="32"/>
      <c r="I43" s="4"/>
      <c r="J43" s="5"/>
      <c r="K43" s="6"/>
      <c r="L43" s="6"/>
    </row>
    <row r="44" spans="2:12" x14ac:dyDescent="0.45">
      <c r="B44" s="32"/>
      <c r="C44" s="4"/>
      <c r="D44" s="5"/>
      <c r="E44" s="6"/>
      <c r="F44" s="6"/>
      <c r="H44" s="32"/>
      <c r="I44" s="4"/>
      <c r="J44" s="5"/>
      <c r="K44" s="6"/>
      <c r="L44" s="6"/>
    </row>
    <row r="45" spans="2:12" x14ac:dyDescent="0.45">
      <c r="B45" s="32"/>
      <c r="C45" s="4"/>
      <c r="D45" s="5"/>
      <c r="E45" s="6"/>
      <c r="F45" s="6"/>
      <c r="H45" s="32"/>
      <c r="I45" s="4"/>
      <c r="J45" s="5"/>
      <c r="K45" s="6"/>
      <c r="L45" s="6"/>
    </row>
    <row r="46" spans="2:12" x14ac:dyDescent="0.45">
      <c r="B46" s="32"/>
      <c r="C46" s="4"/>
      <c r="D46" s="5"/>
      <c r="E46" s="6"/>
      <c r="F46" s="6"/>
      <c r="H46" s="32"/>
      <c r="I46" s="4"/>
      <c r="J46" s="5"/>
      <c r="K46" s="6"/>
      <c r="L46" s="6"/>
    </row>
    <row r="47" spans="2:12" x14ac:dyDescent="0.45">
      <c r="B47" s="32"/>
      <c r="C47" s="4"/>
      <c r="D47" s="5"/>
      <c r="E47" s="6"/>
      <c r="F47" s="6"/>
      <c r="H47" s="32"/>
      <c r="I47" s="4"/>
      <c r="J47" s="5"/>
      <c r="K47" s="6"/>
      <c r="L47" s="6"/>
    </row>
    <row r="48" spans="2:12" x14ac:dyDescent="0.45">
      <c r="B48" s="32"/>
      <c r="C48" s="4"/>
      <c r="D48" s="5"/>
      <c r="E48" s="6"/>
      <c r="F48" s="6"/>
      <c r="H48" s="32"/>
      <c r="I48" s="4"/>
      <c r="J48" s="5"/>
      <c r="K48" s="6"/>
      <c r="L48" s="6"/>
    </row>
    <row r="49" spans="2:12" x14ac:dyDescent="0.45">
      <c r="B49" s="32"/>
      <c r="C49" s="4" t="s">
        <v>2</v>
      </c>
      <c r="D49" s="8"/>
      <c r="E49" s="6">
        <f>SUBTOTAL(9,Tableau44616264554617023[Revenues])</f>
        <v>0</v>
      </c>
      <c r="F49" s="6">
        <f>SUBTOTAL(9,Tableau44616264554617023[Expenses])</f>
        <v>0</v>
      </c>
      <c r="H49" s="32"/>
      <c r="I49" s="4" t="s">
        <v>2</v>
      </c>
      <c r="J49" s="8"/>
      <c r="K49" s="6">
        <f>SUBTOTAL(9,Tableau44616264554617024[Revenues])</f>
        <v>0</v>
      </c>
      <c r="L49" s="6">
        <f>SUBTOTAL(9,Tableau44616264554617024[Expenses])</f>
        <v>0</v>
      </c>
    </row>
    <row r="51" spans="2:12" x14ac:dyDescent="0.45">
      <c r="E51" s="16"/>
      <c r="K51" s="16"/>
    </row>
    <row r="52" spans="2:12" ht="18" customHeight="1" x14ac:dyDescent="0.45">
      <c r="B52" s="33" t="s">
        <v>20</v>
      </c>
      <c r="C52" s="3" t="s">
        <v>21</v>
      </c>
      <c r="D52" s="3" t="s">
        <v>1</v>
      </c>
      <c r="E52" s="3" t="s">
        <v>22</v>
      </c>
      <c r="F52" s="3" t="s">
        <v>23</v>
      </c>
      <c r="H52" s="31"/>
      <c r="I52" s="23"/>
      <c r="J52" s="23"/>
      <c r="K52" s="23"/>
      <c r="L52" s="23"/>
    </row>
    <row r="53" spans="2:12" x14ac:dyDescent="0.45">
      <c r="B53" s="32"/>
      <c r="C53" s="4"/>
      <c r="D53" s="5"/>
      <c r="E53" s="7"/>
      <c r="F53" s="7"/>
      <c r="H53" s="32"/>
      <c r="I53" s="20"/>
      <c r="J53" s="24"/>
      <c r="K53" s="25"/>
      <c r="L53" s="25"/>
    </row>
    <row r="54" spans="2:12" x14ac:dyDescent="0.45">
      <c r="B54" s="32"/>
      <c r="C54" s="4"/>
      <c r="D54" s="5"/>
      <c r="E54" s="6"/>
      <c r="F54" s="6"/>
      <c r="H54" s="32"/>
      <c r="I54" s="20"/>
      <c r="J54" s="24"/>
      <c r="K54" s="22"/>
      <c r="L54" s="22"/>
    </row>
    <row r="55" spans="2:12" x14ac:dyDescent="0.45">
      <c r="B55" s="32"/>
      <c r="C55" s="4"/>
      <c r="D55" s="5"/>
      <c r="E55" s="6"/>
      <c r="F55" s="6"/>
      <c r="H55" s="32"/>
      <c r="I55" s="20"/>
      <c r="J55" s="24"/>
      <c r="K55" s="22"/>
      <c r="L55" s="22"/>
    </row>
    <row r="56" spans="2:12" x14ac:dyDescent="0.45">
      <c r="B56" s="32"/>
      <c r="C56" s="4"/>
      <c r="D56" s="5"/>
      <c r="E56" s="6"/>
      <c r="F56" s="6"/>
      <c r="H56" s="32"/>
      <c r="I56" s="20"/>
      <c r="J56" s="24"/>
      <c r="K56" s="22"/>
      <c r="L56" s="22"/>
    </row>
    <row r="57" spans="2:12" x14ac:dyDescent="0.45">
      <c r="B57" s="32"/>
      <c r="C57" s="4"/>
      <c r="D57" s="5"/>
      <c r="E57" s="6"/>
      <c r="F57" s="6"/>
      <c r="H57" s="32"/>
      <c r="I57" s="20"/>
      <c r="J57" s="24"/>
      <c r="K57" s="22"/>
      <c r="L57" s="22"/>
    </row>
    <row r="58" spans="2:12" x14ac:dyDescent="0.45">
      <c r="B58" s="32"/>
      <c r="C58" s="4"/>
      <c r="D58" s="5"/>
      <c r="E58" s="6"/>
      <c r="F58" s="6"/>
      <c r="H58" s="32"/>
      <c r="I58" s="20"/>
      <c r="J58" s="24"/>
      <c r="K58" s="22"/>
      <c r="L58" s="22"/>
    </row>
    <row r="59" spans="2:12" x14ac:dyDescent="0.45">
      <c r="B59" s="32"/>
      <c r="C59" s="4"/>
      <c r="D59" s="5"/>
      <c r="E59" s="6"/>
      <c r="F59" s="6"/>
      <c r="H59" s="32"/>
      <c r="I59" s="20"/>
      <c r="J59" s="24"/>
      <c r="K59" s="22"/>
      <c r="L59" s="22"/>
    </row>
    <row r="60" spans="2:12" x14ac:dyDescent="0.45">
      <c r="B60" s="32"/>
      <c r="C60" s="4"/>
      <c r="D60" s="5"/>
      <c r="E60" s="6"/>
      <c r="F60" s="6"/>
      <c r="H60" s="32"/>
      <c r="I60" s="20"/>
      <c r="J60" s="24"/>
      <c r="K60" s="22"/>
      <c r="L60" s="22"/>
    </row>
    <row r="61" spans="2:12" x14ac:dyDescent="0.45">
      <c r="B61" s="32"/>
      <c r="C61" s="4" t="s">
        <v>2</v>
      </c>
      <c r="D61" s="8"/>
      <c r="E61" s="6">
        <f>SUBTOTAL(9,Tableau44616264554617025[Revenues])</f>
        <v>0</v>
      </c>
      <c r="F61" s="6">
        <f>SUBTOTAL(9,Tableau44616264554617025[Expenses])</f>
        <v>0</v>
      </c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8" x14ac:dyDescent="0.45">
      <c r="B65" s="32"/>
      <c r="C65" s="20"/>
      <c r="D65" s="24"/>
      <c r="E65" s="25"/>
      <c r="F65" s="25"/>
    </row>
    <row r="66" spans="2:8" x14ac:dyDescent="0.45">
      <c r="B66" s="32"/>
      <c r="C66" s="20"/>
      <c r="D66" s="24"/>
      <c r="E66" s="22"/>
      <c r="F66" s="22"/>
    </row>
    <row r="67" spans="2:8" x14ac:dyDescent="0.45">
      <c r="B67" s="32"/>
      <c r="C67" s="20"/>
      <c r="D67" s="24"/>
      <c r="E67" s="22"/>
      <c r="F67" s="22"/>
    </row>
    <row r="68" spans="2:8" x14ac:dyDescent="0.45">
      <c r="B68" s="32"/>
      <c r="C68" s="20"/>
      <c r="D68" s="24"/>
      <c r="E68" s="22"/>
      <c r="F68" s="22"/>
    </row>
    <row r="69" spans="2:8" x14ac:dyDescent="0.45">
      <c r="B69" s="32"/>
      <c r="C69" s="20"/>
      <c r="D69" s="24"/>
      <c r="E69" s="22"/>
      <c r="F69" s="22"/>
    </row>
    <row r="70" spans="2:8" x14ac:dyDescent="0.45">
      <c r="B70" s="32"/>
      <c r="C70" s="20"/>
      <c r="D70" s="24"/>
      <c r="E70" s="22"/>
      <c r="F70" s="22"/>
    </row>
    <row r="71" spans="2:8" ht="21" x14ac:dyDescent="0.65">
      <c r="B71" s="32"/>
      <c r="C71" s="20"/>
      <c r="D71" s="24"/>
      <c r="E71" s="22"/>
      <c r="F71" s="22"/>
      <c r="H71" s="30" t="s">
        <v>19</v>
      </c>
    </row>
    <row r="72" spans="2:8" x14ac:dyDescent="0.45">
      <c r="B72" s="32"/>
      <c r="C72" s="20"/>
      <c r="D72" s="24"/>
      <c r="E72" s="22"/>
      <c r="F72" s="22"/>
    </row>
    <row r="73" spans="2:8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B28:B37"/>
    <mergeCell ref="B52:B61"/>
    <mergeCell ref="H16:H25"/>
  </mergeCells>
  <pageMargins left="0.7" right="0.7" top="0.75" bottom="0.75" header="0.3" footer="0.3"/>
  <pageSetup paperSize="9" orientation="portrait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3"/>
  <sheetViews>
    <sheetView zoomScale="66" zoomScaleNormal="66" workbookViewId="0">
      <selection activeCell="C16" sqref="C16:F16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24</v>
      </c>
      <c r="D2" s="32"/>
      <c r="E2" s="32"/>
      <c r="F2" s="32"/>
      <c r="G2" s="1"/>
      <c r="H2" s="2"/>
      <c r="I2" s="19" t="s">
        <v>0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25</v>
      </c>
      <c r="C4" s="3" t="s">
        <v>21</v>
      </c>
      <c r="D4" s="3" t="s">
        <v>1</v>
      </c>
      <c r="E4" s="3" t="s">
        <v>22</v>
      </c>
      <c r="F4" s="3" t="s">
        <v>23</v>
      </c>
      <c r="G4" s="1"/>
      <c r="H4" s="33" t="s">
        <v>26</v>
      </c>
      <c r="I4" s="3" t="s">
        <v>21</v>
      </c>
      <c r="J4" s="3" t="s">
        <v>1</v>
      </c>
      <c r="K4" s="3" t="s">
        <v>22</v>
      </c>
      <c r="L4" s="3" t="s">
        <v>23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ht="25.5" customHeight="1" x14ac:dyDescent="0.45">
      <c r="A13" s="1"/>
      <c r="B13" s="32"/>
      <c r="C13" s="4" t="s">
        <v>2</v>
      </c>
      <c r="D13" s="8"/>
      <c r="E13" s="6">
        <f>SUBTOTAL(9,Tableau413234251586713[Revenues])</f>
        <v>0</v>
      </c>
      <c r="F13" s="6">
        <f>SUBTOTAL(9,Tableau413234251586713[Expenses])</f>
        <v>0</v>
      </c>
      <c r="G13" s="1"/>
      <c r="H13" s="32"/>
      <c r="I13" s="4" t="s">
        <v>2</v>
      </c>
      <c r="J13" s="8"/>
      <c r="K13" s="6">
        <f>SUBTOTAL(9,Tableau4461626455461701423[Revenues])</f>
        <v>0</v>
      </c>
      <c r="L13" s="6">
        <f>SUBTOTAL(9,Tableau4461626455461701423[Expenses])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3" t="s">
        <v>18</v>
      </c>
      <c r="C16" s="3" t="s">
        <v>21</v>
      </c>
      <c r="D16" s="3" t="s">
        <v>1</v>
      </c>
      <c r="E16" s="3" t="s">
        <v>22</v>
      </c>
      <c r="F16" s="3" t="s">
        <v>23</v>
      </c>
      <c r="G16" s="1"/>
      <c r="H16" s="33" t="s">
        <v>27</v>
      </c>
      <c r="I16" s="3" t="s">
        <v>21</v>
      </c>
      <c r="J16" s="3" t="s">
        <v>1</v>
      </c>
      <c r="K16" s="3" t="s">
        <v>22</v>
      </c>
      <c r="L16" s="3" t="s">
        <v>23</v>
      </c>
    </row>
    <row r="17" spans="1:12" x14ac:dyDescent="0.45">
      <c r="A17" s="1"/>
      <c r="B17" s="32"/>
      <c r="C17" s="4"/>
      <c r="D17" s="5"/>
      <c r="E17" s="7"/>
      <c r="F17" s="7"/>
      <c r="G17" s="1"/>
      <c r="H17" s="32"/>
      <c r="I17" s="4"/>
      <c r="J17" s="5"/>
      <c r="K17" s="7"/>
      <c r="L17" s="7"/>
    </row>
    <row r="18" spans="1:12" x14ac:dyDescent="0.45">
      <c r="A18" s="1"/>
      <c r="B18" s="32"/>
      <c r="C18" s="4"/>
      <c r="D18" s="5"/>
      <c r="E18" s="6"/>
      <c r="F18" s="6"/>
      <c r="G18" s="1"/>
      <c r="H18" s="32"/>
      <c r="I18" s="4"/>
      <c r="J18" s="5"/>
      <c r="K18" s="6"/>
      <c r="L18" s="6"/>
    </row>
    <row r="19" spans="1:12" x14ac:dyDescent="0.45">
      <c r="A19" s="1"/>
      <c r="B19" s="32"/>
      <c r="C19" s="4"/>
      <c r="D19" s="5"/>
      <c r="E19" s="6"/>
      <c r="F19" s="6"/>
      <c r="G19" s="1"/>
      <c r="H19" s="32"/>
      <c r="I19" s="4"/>
      <c r="J19" s="5"/>
      <c r="K19" s="6"/>
      <c r="L19" s="6"/>
    </row>
    <row r="20" spans="1:12" x14ac:dyDescent="0.45">
      <c r="A20" s="1"/>
      <c r="B20" s="32"/>
      <c r="C20" s="4"/>
      <c r="D20" s="5"/>
      <c r="E20" s="6"/>
      <c r="F20" s="6"/>
      <c r="G20" s="1"/>
      <c r="H20" s="32"/>
      <c r="I20" s="4"/>
      <c r="J20" s="5"/>
      <c r="K20" s="6"/>
      <c r="L20" s="6"/>
    </row>
    <row r="21" spans="1:12" x14ac:dyDescent="0.45">
      <c r="A21" s="1"/>
      <c r="B21" s="32"/>
      <c r="C21" s="4"/>
      <c r="D21" s="5"/>
      <c r="E21" s="6"/>
      <c r="F21" s="6"/>
      <c r="G21" s="1"/>
      <c r="H21" s="32"/>
      <c r="I21" s="4"/>
      <c r="J21" s="5"/>
      <c r="K21" s="6"/>
      <c r="L21" s="6"/>
    </row>
    <row r="22" spans="1:12" x14ac:dyDescent="0.45">
      <c r="A22" s="1"/>
      <c r="B22" s="32"/>
      <c r="C22" s="4"/>
      <c r="D22" s="5"/>
      <c r="E22" s="6"/>
      <c r="F22" s="6"/>
      <c r="G22" s="1"/>
      <c r="H22" s="32"/>
      <c r="I22" s="4"/>
      <c r="J22" s="5"/>
      <c r="K22" s="6"/>
      <c r="L22" s="6"/>
    </row>
    <row r="23" spans="1:12" x14ac:dyDescent="0.45">
      <c r="A23" s="1"/>
      <c r="B23" s="32"/>
      <c r="C23" s="4"/>
      <c r="D23" s="5"/>
      <c r="E23" s="6"/>
      <c r="F23" s="6"/>
      <c r="G23" s="1"/>
      <c r="H23" s="32"/>
      <c r="I23" s="4"/>
      <c r="J23" s="5"/>
      <c r="K23" s="6"/>
      <c r="L23" s="6"/>
    </row>
    <row r="24" spans="1:12" x14ac:dyDescent="0.45">
      <c r="A24" s="1"/>
      <c r="B24" s="32"/>
      <c r="C24" s="4"/>
      <c r="D24" s="5"/>
      <c r="E24" s="6"/>
      <c r="F24" s="6"/>
      <c r="G24" s="1"/>
      <c r="H24" s="32"/>
      <c r="I24" s="4"/>
      <c r="J24" s="5"/>
      <c r="K24" s="6"/>
      <c r="L24" s="6"/>
    </row>
    <row r="25" spans="1:12" x14ac:dyDescent="0.45">
      <c r="A25" s="1"/>
      <c r="B25" s="32"/>
      <c r="C25" s="4" t="s">
        <v>2</v>
      </c>
      <c r="D25" s="8"/>
      <c r="E25" s="6">
        <f>SUBTOTAL(9,Tableau44616264554617015[Revenues])</f>
        <v>0</v>
      </c>
      <c r="F25" s="6">
        <f>SUBTOTAL(9,Tableau44616264554617015[Expenses])</f>
        <v>0</v>
      </c>
      <c r="G25" s="1"/>
      <c r="H25" s="32"/>
      <c r="I25" s="4" t="s">
        <v>2</v>
      </c>
      <c r="J25" s="8"/>
      <c r="K25" s="6">
        <f>SUBTOTAL(9,Tableau4461626455461702015[Revenues])</f>
        <v>0</v>
      </c>
      <c r="L25" s="6">
        <f>SUBTOTAL(9,Tableau4461626455461702015[Expenses])</f>
        <v>0</v>
      </c>
    </row>
    <row r="28" spans="1:12" ht="18" customHeight="1" x14ac:dyDescent="0.45">
      <c r="B28" s="33" t="s">
        <v>5</v>
      </c>
      <c r="C28" s="3" t="s">
        <v>21</v>
      </c>
      <c r="D28" s="3" t="s">
        <v>1</v>
      </c>
      <c r="E28" s="3" t="s">
        <v>22</v>
      </c>
      <c r="F28" s="3" t="s">
        <v>23</v>
      </c>
      <c r="H28" s="33" t="s">
        <v>6</v>
      </c>
      <c r="I28" s="3" t="s">
        <v>21</v>
      </c>
      <c r="J28" s="3" t="s">
        <v>1</v>
      </c>
      <c r="K28" s="3" t="s">
        <v>22</v>
      </c>
      <c r="L28" s="3" t="s">
        <v>23</v>
      </c>
    </row>
    <row r="29" spans="1:12" x14ac:dyDescent="0.45">
      <c r="B29" s="32"/>
      <c r="C29" s="4"/>
      <c r="D29" s="5"/>
      <c r="E29" s="7"/>
      <c r="F29" s="7"/>
      <c r="H29" s="32"/>
      <c r="I29" s="4"/>
      <c r="J29" s="5"/>
      <c r="K29" s="7"/>
      <c r="L29" s="7"/>
    </row>
    <row r="30" spans="1:12" x14ac:dyDescent="0.45">
      <c r="B30" s="32"/>
      <c r="C30" s="4"/>
      <c r="D30" s="5"/>
      <c r="E30" s="6"/>
      <c r="F30" s="6"/>
      <c r="H30" s="32"/>
      <c r="I30" s="4"/>
      <c r="J30" s="5"/>
      <c r="K30" s="6"/>
      <c r="L30" s="6"/>
    </row>
    <row r="31" spans="1:12" x14ac:dyDescent="0.45">
      <c r="B31" s="32"/>
      <c r="C31" s="4"/>
      <c r="D31" s="5"/>
      <c r="E31" s="6"/>
      <c r="F31" s="6"/>
      <c r="H31" s="32"/>
      <c r="I31" s="4"/>
      <c r="J31" s="5"/>
      <c r="K31" s="6"/>
      <c r="L31" s="6"/>
    </row>
    <row r="32" spans="1:12" x14ac:dyDescent="0.45">
      <c r="B32" s="32"/>
      <c r="C32" s="4"/>
      <c r="D32" s="5"/>
      <c r="E32" s="6"/>
      <c r="F32" s="6"/>
      <c r="H32" s="32"/>
      <c r="I32" s="4"/>
      <c r="J32" s="5"/>
      <c r="K32" s="6"/>
      <c r="L32" s="6"/>
    </row>
    <row r="33" spans="2:12" x14ac:dyDescent="0.45">
      <c r="B33" s="32"/>
      <c r="C33" s="4"/>
      <c r="D33" s="5"/>
      <c r="E33" s="6"/>
      <c r="F33" s="6"/>
      <c r="H33" s="32"/>
      <c r="I33" s="4"/>
      <c r="J33" s="5"/>
      <c r="K33" s="6"/>
      <c r="L33" s="6"/>
    </row>
    <row r="34" spans="2:12" x14ac:dyDescent="0.45">
      <c r="B34" s="32"/>
      <c r="C34" s="4"/>
      <c r="D34" s="5"/>
      <c r="E34" s="6"/>
      <c r="F34" s="6"/>
      <c r="H34" s="32"/>
      <c r="I34" s="4"/>
      <c r="J34" s="5"/>
      <c r="K34" s="6"/>
      <c r="L34" s="6"/>
    </row>
    <row r="35" spans="2:12" x14ac:dyDescent="0.45">
      <c r="B35" s="32"/>
      <c r="C35" s="4"/>
      <c r="D35" s="5"/>
      <c r="E35" s="6"/>
      <c r="F35" s="6"/>
      <c r="H35" s="32"/>
      <c r="I35" s="4"/>
      <c r="J35" s="5"/>
      <c r="K35" s="6"/>
      <c r="L35" s="6"/>
    </row>
    <row r="36" spans="2:12" x14ac:dyDescent="0.45">
      <c r="B36" s="32"/>
      <c r="C36" s="4"/>
      <c r="D36" s="5"/>
      <c r="E36" s="6"/>
      <c r="F36" s="6"/>
      <c r="H36" s="32"/>
      <c r="I36" s="4"/>
      <c r="J36" s="5"/>
      <c r="K36" s="6"/>
      <c r="L36" s="6"/>
    </row>
    <row r="37" spans="2:12" x14ac:dyDescent="0.45">
      <c r="B37" s="32"/>
      <c r="C37" s="4" t="s">
        <v>2</v>
      </c>
      <c r="D37" s="8"/>
      <c r="E37" s="6">
        <f>SUBTOTAL(9,Tableau4461626455461702116[Revenues])</f>
        <v>0</v>
      </c>
      <c r="F37" s="6">
        <f>SUBTOTAL(9,Tableau4461626455461702116[Expenses])</f>
        <v>0</v>
      </c>
      <c r="H37" s="32"/>
      <c r="I37" s="4" t="s">
        <v>2</v>
      </c>
      <c r="J37" s="8"/>
      <c r="K37" s="6">
        <f>SUBTOTAL(9,Tableau4461626455461702217[Revenues])</f>
        <v>0</v>
      </c>
      <c r="L37" s="6">
        <f>SUBTOTAL(9,Tableau4461626455461702217[Expenses])</f>
        <v>0</v>
      </c>
    </row>
    <row r="39" spans="2:12" x14ac:dyDescent="0.45">
      <c r="E39" s="16"/>
    </row>
    <row r="40" spans="2:12" ht="18" customHeight="1" x14ac:dyDescent="0.45">
      <c r="B40" s="33" t="s">
        <v>7</v>
      </c>
      <c r="C40" s="3" t="s">
        <v>21</v>
      </c>
      <c r="D40" s="3" t="s">
        <v>1</v>
      </c>
      <c r="E40" s="3" t="s">
        <v>22</v>
      </c>
      <c r="F40" s="3" t="s">
        <v>23</v>
      </c>
      <c r="H40" s="33" t="s">
        <v>28</v>
      </c>
      <c r="I40" s="3" t="s">
        <v>21</v>
      </c>
      <c r="J40" s="3" t="s">
        <v>1</v>
      </c>
      <c r="K40" s="3" t="s">
        <v>22</v>
      </c>
      <c r="L40" s="3" t="s">
        <v>23</v>
      </c>
    </row>
    <row r="41" spans="2:12" x14ac:dyDescent="0.45">
      <c r="B41" s="32"/>
      <c r="C41" s="4"/>
      <c r="D41" s="5"/>
      <c r="E41" s="7"/>
      <c r="F41" s="7"/>
      <c r="H41" s="32"/>
      <c r="I41" s="4"/>
      <c r="J41" s="5"/>
      <c r="K41" s="7"/>
      <c r="L41" s="7"/>
    </row>
    <row r="42" spans="2:12" x14ac:dyDescent="0.45">
      <c r="B42" s="32"/>
      <c r="C42" s="4"/>
      <c r="D42" s="5"/>
      <c r="E42" s="6"/>
      <c r="F42" s="6"/>
      <c r="H42" s="32"/>
      <c r="I42" s="4"/>
      <c r="J42" s="5"/>
      <c r="K42" s="6"/>
      <c r="L42" s="6"/>
    </row>
    <row r="43" spans="2:12" x14ac:dyDescent="0.45">
      <c r="B43" s="32"/>
      <c r="C43" s="4"/>
      <c r="D43" s="5"/>
      <c r="E43" s="6"/>
      <c r="F43" s="6"/>
      <c r="H43" s="32"/>
      <c r="I43" s="4"/>
      <c r="J43" s="5"/>
      <c r="K43" s="6"/>
      <c r="L43" s="6"/>
    </row>
    <row r="44" spans="2:12" x14ac:dyDescent="0.45">
      <c r="B44" s="32"/>
      <c r="C44" s="4"/>
      <c r="D44" s="5"/>
      <c r="E44" s="6"/>
      <c r="F44" s="6"/>
      <c r="H44" s="32"/>
      <c r="I44" s="4"/>
      <c r="J44" s="5"/>
      <c r="K44" s="6"/>
      <c r="L44" s="6"/>
    </row>
    <row r="45" spans="2:12" x14ac:dyDescent="0.45">
      <c r="B45" s="32"/>
      <c r="C45" s="4"/>
      <c r="D45" s="5"/>
      <c r="E45" s="6"/>
      <c r="F45" s="6"/>
      <c r="H45" s="32"/>
      <c r="I45" s="4"/>
      <c r="J45" s="5"/>
      <c r="K45" s="6"/>
      <c r="L45" s="6"/>
    </row>
    <row r="46" spans="2:12" x14ac:dyDescent="0.45">
      <c r="B46" s="32"/>
      <c r="C46" s="4"/>
      <c r="D46" s="5"/>
      <c r="E46" s="6"/>
      <c r="F46" s="6"/>
      <c r="H46" s="32"/>
      <c r="I46" s="4"/>
      <c r="J46" s="5"/>
      <c r="K46" s="6"/>
      <c r="L46" s="6"/>
    </row>
    <row r="47" spans="2:12" x14ac:dyDescent="0.45">
      <c r="B47" s="32"/>
      <c r="C47" s="4"/>
      <c r="D47" s="5"/>
      <c r="E47" s="6"/>
      <c r="F47" s="6"/>
      <c r="H47" s="32"/>
      <c r="I47" s="4"/>
      <c r="J47" s="5"/>
      <c r="K47" s="6"/>
      <c r="L47" s="6"/>
    </row>
    <row r="48" spans="2:12" x14ac:dyDescent="0.45">
      <c r="B48" s="32"/>
      <c r="C48" s="4"/>
      <c r="D48" s="5"/>
      <c r="E48" s="6"/>
      <c r="F48" s="6"/>
      <c r="H48" s="32"/>
      <c r="I48" s="4"/>
      <c r="J48" s="5"/>
      <c r="K48" s="6"/>
      <c r="L48" s="6"/>
    </row>
    <row r="49" spans="2:12" x14ac:dyDescent="0.45">
      <c r="B49" s="32"/>
      <c r="C49" s="4" t="s">
        <v>2</v>
      </c>
      <c r="D49" s="8"/>
      <c r="E49" s="6">
        <f>SUBTOTAL(9,Tableau4461626455461702318[Revenues])</f>
        <v>0</v>
      </c>
      <c r="F49" s="6">
        <f>SUBTOTAL(9,Tableau4461626455461702318[Expenses])</f>
        <v>0</v>
      </c>
      <c r="H49" s="32"/>
      <c r="I49" s="4" t="s">
        <v>2</v>
      </c>
      <c r="J49" s="8"/>
      <c r="K49" s="6">
        <f>SUBTOTAL(9,Tableau4461626455461702419[Revenues])</f>
        <v>0</v>
      </c>
      <c r="L49" s="6">
        <f>SUBTOTAL(9,Tableau4461626455461702419[Expenses])</f>
        <v>0</v>
      </c>
    </row>
    <row r="51" spans="2:12" x14ac:dyDescent="0.45">
      <c r="E51" s="16"/>
      <c r="K51" s="16"/>
    </row>
    <row r="52" spans="2:12" ht="18" customHeight="1" x14ac:dyDescent="0.45">
      <c r="B52" s="33" t="s">
        <v>20</v>
      </c>
      <c r="C52" s="3" t="s">
        <v>21</v>
      </c>
      <c r="D52" s="3" t="s">
        <v>1</v>
      </c>
      <c r="E52" s="3" t="s">
        <v>22</v>
      </c>
      <c r="F52" s="3" t="s">
        <v>23</v>
      </c>
      <c r="H52" s="31"/>
      <c r="I52" s="23"/>
      <c r="J52" s="23"/>
      <c r="K52" s="23"/>
      <c r="L52" s="23"/>
    </row>
    <row r="53" spans="2:12" x14ac:dyDescent="0.45">
      <c r="B53" s="32"/>
      <c r="C53" s="4"/>
      <c r="D53" s="5"/>
      <c r="E53" s="7"/>
      <c r="F53" s="7"/>
      <c r="H53" s="32"/>
      <c r="I53" s="20"/>
      <c r="J53" s="24"/>
      <c r="K53" s="25"/>
      <c r="L53" s="25"/>
    </row>
    <row r="54" spans="2:12" x14ac:dyDescent="0.45">
      <c r="B54" s="32"/>
      <c r="C54" s="4"/>
      <c r="D54" s="5"/>
      <c r="E54" s="6"/>
      <c r="F54" s="6"/>
      <c r="H54" s="32"/>
      <c r="I54" s="20"/>
      <c r="J54" s="24"/>
      <c r="K54" s="22"/>
      <c r="L54" s="22"/>
    </row>
    <row r="55" spans="2:12" x14ac:dyDescent="0.45">
      <c r="B55" s="32"/>
      <c r="C55" s="4"/>
      <c r="D55" s="5"/>
      <c r="E55" s="6"/>
      <c r="F55" s="6"/>
      <c r="H55" s="32"/>
      <c r="I55" s="20"/>
      <c r="J55" s="24"/>
      <c r="K55" s="22"/>
      <c r="L55" s="22"/>
    </row>
    <row r="56" spans="2:12" x14ac:dyDescent="0.45">
      <c r="B56" s="32"/>
      <c r="C56" s="4"/>
      <c r="D56" s="5"/>
      <c r="E56" s="6"/>
      <c r="F56" s="6"/>
      <c r="H56" s="32"/>
      <c r="I56" s="20"/>
      <c r="J56" s="24"/>
      <c r="K56" s="22"/>
      <c r="L56" s="22"/>
    </row>
    <row r="57" spans="2:12" x14ac:dyDescent="0.45">
      <c r="B57" s="32"/>
      <c r="C57" s="4"/>
      <c r="D57" s="5"/>
      <c r="E57" s="6"/>
      <c r="F57" s="6"/>
      <c r="H57" s="32"/>
      <c r="I57" s="20"/>
      <c r="J57" s="24"/>
      <c r="K57" s="22"/>
      <c r="L57" s="22"/>
    </row>
    <row r="58" spans="2:12" x14ac:dyDescent="0.45">
      <c r="B58" s="32"/>
      <c r="C58" s="4"/>
      <c r="D58" s="5"/>
      <c r="E58" s="6"/>
      <c r="F58" s="6"/>
      <c r="H58" s="32"/>
      <c r="I58" s="20"/>
      <c r="J58" s="24"/>
      <c r="K58" s="22"/>
      <c r="L58" s="22"/>
    </row>
    <row r="59" spans="2:12" x14ac:dyDescent="0.45">
      <c r="B59" s="32"/>
      <c r="C59" s="4"/>
      <c r="D59" s="5"/>
      <c r="E59" s="6"/>
      <c r="F59" s="6"/>
      <c r="H59" s="32"/>
      <c r="I59" s="20"/>
      <c r="J59" s="24"/>
      <c r="K59" s="22"/>
      <c r="L59" s="22"/>
    </row>
    <row r="60" spans="2:12" x14ac:dyDescent="0.45">
      <c r="B60" s="32"/>
      <c r="C60" s="4"/>
      <c r="D60" s="5"/>
      <c r="E60" s="6"/>
      <c r="F60" s="6"/>
      <c r="H60" s="32"/>
      <c r="I60" s="20"/>
      <c r="J60" s="24"/>
      <c r="K60" s="22"/>
      <c r="L60" s="22"/>
    </row>
    <row r="61" spans="2:12" x14ac:dyDescent="0.45">
      <c r="B61" s="32"/>
      <c r="C61" s="4" t="s">
        <v>2</v>
      </c>
      <c r="D61" s="8"/>
      <c r="E61" s="6">
        <f>SUBTOTAL(9,Tableau4461626455461702520[Revenues])</f>
        <v>0</v>
      </c>
      <c r="F61" s="6">
        <f>SUBTOTAL(9,Tableau4461626455461702520[Expenses])</f>
        <v>0</v>
      </c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H16:H25"/>
    <mergeCell ref="B52:B61"/>
    <mergeCell ref="B28:B37"/>
  </mergeCells>
  <pageMargins left="0.7" right="0.7" top="0.75" bottom="0.75" header="0.3" footer="0.3"/>
  <pageSetup paperSize="9" orientation="portrait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5"/>
  <sheetViews>
    <sheetView zoomScale="61" workbookViewId="0">
      <selection activeCell="C2" sqref="C2:F2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29</v>
      </c>
      <c r="D2" s="32"/>
      <c r="E2" s="32"/>
      <c r="F2" s="32"/>
      <c r="G2" s="1"/>
      <c r="H2" s="2"/>
      <c r="I2" s="19" t="s">
        <v>0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30</v>
      </c>
      <c r="C4" s="3" t="s">
        <v>21</v>
      </c>
      <c r="D4" s="3" t="s">
        <v>1</v>
      </c>
      <c r="E4" s="3" t="s">
        <v>22</v>
      </c>
      <c r="F4" s="3" t="s">
        <v>23</v>
      </c>
      <c r="G4" s="1"/>
      <c r="H4" s="33" t="s">
        <v>8</v>
      </c>
      <c r="I4" s="3" t="s">
        <v>21</v>
      </c>
      <c r="J4" s="3" t="s">
        <v>1</v>
      </c>
      <c r="K4" s="3" t="s">
        <v>22</v>
      </c>
      <c r="L4" s="3" t="s">
        <v>23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ht="13.5" customHeight="1" x14ac:dyDescent="0.45">
      <c r="A13" s="1"/>
      <c r="B13" s="32"/>
      <c r="C13" s="4"/>
      <c r="D13" s="5"/>
      <c r="E13" s="6"/>
      <c r="F13" s="6"/>
      <c r="G13" s="1"/>
      <c r="H13" s="32"/>
      <c r="I13" s="4" t="s">
        <v>2</v>
      </c>
      <c r="J13" s="8"/>
      <c r="K13" s="6">
        <f>SUBTOTAL(9,Tableau446162645546170143241[Revenues])</f>
        <v>0</v>
      </c>
      <c r="L13" s="6">
        <f>SUBTOTAL(9,Tableau446162645546170143241[Expenses])</f>
        <v>0</v>
      </c>
    </row>
    <row r="14" spans="1:12" ht="14.65" customHeight="1" x14ac:dyDescent="0.45">
      <c r="A14" s="1"/>
      <c r="B14" s="32"/>
      <c r="C14" s="26"/>
      <c r="D14" s="27"/>
      <c r="E14" s="28"/>
      <c r="F14" s="28"/>
      <c r="G14" s="1"/>
      <c r="H14" s="1"/>
      <c r="I14" s="1"/>
      <c r="J14" s="1"/>
      <c r="K14" s="1"/>
      <c r="L14" s="1"/>
    </row>
    <row r="15" spans="1:12" ht="14.65" customHeight="1" x14ac:dyDescent="0.45">
      <c r="A15" s="1"/>
      <c r="B15" s="32"/>
      <c r="C15" s="4" t="s">
        <v>2</v>
      </c>
      <c r="D15" s="8"/>
      <c r="E15" s="6">
        <f>SUBTOTAL(9,Tableau41323425158672233[Revenues])</f>
        <v>0</v>
      </c>
      <c r="F15" s="6">
        <f>SUBTOTAL(9,Tableau41323425158672233[Expenses])</f>
        <v>0</v>
      </c>
      <c r="G15" s="1"/>
      <c r="H15" s="1"/>
      <c r="I15" s="1"/>
      <c r="J15" s="1"/>
      <c r="K15" s="1"/>
      <c r="L15" s="1"/>
    </row>
    <row r="16" spans="1:12" ht="14.65" customHeight="1" x14ac:dyDescent="0.45">
      <c r="A16" s="1"/>
      <c r="B16" s="10"/>
      <c r="C16" s="11"/>
      <c r="D16" s="11"/>
      <c r="E16" s="11"/>
      <c r="F16" s="11"/>
      <c r="G16" s="1"/>
      <c r="H16" s="1"/>
      <c r="I16" s="1"/>
      <c r="J16" s="1"/>
      <c r="K16" s="1"/>
      <c r="L16" s="1"/>
    </row>
    <row r="17" spans="1:12" x14ac:dyDescent="0.45">
      <c r="A17" s="1"/>
      <c r="B17" s="10"/>
      <c r="C17" s="12"/>
      <c r="D17" s="13"/>
      <c r="E17" s="9"/>
      <c r="F17" s="14"/>
      <c r="G17" s="1"/>
      <c r="H17" s="1"/>
      <c r="I17" s="1"/>
      <c r="J17" s="1"/>
      <c r="K17" s="1"/>
      <c r="L17" s="1"/>
    </row>
    <row r="18" spans="1:12" ht="18" customHeight="1" x14ac:dyDescent="0.45">
      <c r="A18" s="1"/>
      <c r="B18" s="33" t="s">
        <v>20</v>
      </c>
      <c r="C18" s="3" t="s">
        <v>21</v>
      </c>
      <c r="D18" s="3" t="s">
        <v>1</v>
      </c>
      <c r="E18" s="3" t="s">
        <v>22</v>
      </c>
      <c r="F18" s="3" t="s">
        <v>23</v>
      </c>
      <c r="G18" s="1"/>
      <c r="H18" s="31"/>
      <c r="I18" s="23"/>
      <c r="J18" s="23"/>
      <c r="K18" s="23"/>
      <c r="L18" s="23"/>
    </row>
    <row r="19" spans="1:12" x14ac:dyDescent="0.45">
      <c r="A19" s="1"/>
      <c r="B19" s="32"/>
      <c r="C19" s="4"/>
      <c r="D19" s="5"/>
      <c r="E19" s="7"/>
      <c r="F19" s="7"/>
      <c r="G19" s="1"/>
      <c r="H19" s="32"/>
      <c r="I19" s="20"/>
      <c r="J19" s="24"/>
      <c r="K19" s="25"/>
      <c r="L19" s="25"/>
    </row>
    <row r="20" spans="1:12" x14ac:dyDescent="0.45">
      <c r="A20" s="1"/>
      <c r="B20" s="32"/>
      <c r="C20" s="4"/>
      <c r="D20" s="5"/>
      <c r="E20" s="6"/>
      <c r="F20" s="6"/>
      <c r="G20" s="1"/>
      <c r="H20" s="32"/>
      <c r="I20" s="20"/>
      <c r="J20" s="24"/>
      <c r="K20" s="22"/>
      <c r="L20" s="22"/>
    </row>
    <row r="21" spans="1:12" x14ac:dyDescent="0.45">
      <c r="A21" s="1"/>
      <c r="B21" s="32"/>
      <c r="C21" s="4"/>
      <c r="D21" s="5"/>
      <c r="E21" s="6"/>
      <c r="F21" s="6"/>
      <c r="G21" s="1"/>
      <c r="H21" s="32"/>
      <c r="I21" s="20"/>
      <c r="J21" s="24"/>
      <c r="K21" s="22"/>
      <c r="L21" s="22"/>
    </row>
    <row r="22" spans="1:12" x14ac:dyDescent="0.45">
      <c r="A22" s="1"/>
      <c r="B22" s="32"/>
      <c r="C22" s="4"/>
      <c r="D22" s="5"/>
      <c r="E22" s="6"/>
      <c r="F22" s="6"/>
      <c r="G22" s="1"/>
      <c r="H22" s="32"/>
      <c r="I22" s="20"/>
      <c r="J22" s="24"/>
      <c r="K22" s="22"/>
      <c r="L22" s="22"/>
    </row>
    <row r="23" spans="1:12" x14ac:dyDescent="0.45">
      <c r="A23" s="1"/>
      <c r="B23" s="32"/>
      <c r="C23" s="4"/>
      <c r="D23" s="5"/>
      <c r="E23" s="6"/>
      <c r="F23" s="6"/>
      <c r="G23" s="1"/>
      <c r="H23" s="32"/>
      <c r="I23" s="20"/>
      <c r="J23" s="24"/>
      <c r="K23" s="22"/>
      <c r="L23" s="22"/>
    </row>
    <row r="24" spans="1:12" x14ac:dyDescent="0.45">
      <c r="A24" s="1"/>
      <c r="B24" s="32"/>
      <c r="C24" s="4"/>
      <c r="D24" s="5"/>
      <c r="E24" s="6"/>
      <c r="F24" s="6"/>
      <c r="G24" s="1"/>
      <c r="H24" s="32"/>
      <c r="I24" s="20"/>
      <c r="J24" s="24"/>
      <c r="K24" s="22"/>
      <c r="L24" s="22"/>
    </row>
    <row r="25" spans="1:12" x14ac:dyDescent="0.45">
      <c r="A25" s="1"/>
      <c r="B25" s="32"/>
      <c r="C25" s="4"/>
      <c r="D25" s="5"/>
      <c r="E25" s="6"/>
      <c r="F25" s="6"/>
      <c r="G25" s="1"/>
      <c r="H25" s="32"/>
      <c r="I25" s="20"/>
      <c r="J25" s="24"/>
      <c r="K25" s="22"/>
      <c r="L25" s="22"/>
    </row>
    <row r="26" spans="1:12" x14ac:dyDescent="0.45">
      <c r="A26" s="1"/>
      <c r="B26" s="32"/>
      <c r="C26" s="4"/>
      <c r="D26" s="5"/>
      <c r="E26" s="6"/>
      <c r="F26" s="6"/>
      <c r="G26" s="1"/>
      <c r="H26" s="32"/>
      <c r="I26" s="20"/>
      <c r="J26" s="24"/>
      <c r="K26" s="22"/>
      <c r="L26" s="22"/>
    </row>
    <row r="27" spans="1:12" x14ac:dyDescent="0.45">
      <c r="A27" s="1"/>
      <c r="B27" s="32"/>
      <c r="C27" s="4" t="s">
        <v>2</v>
      </c>
      <c r="D27" s="8"/>
      <c r="E27" s="6">
        <f>SUBTOTAL(9,Tableau4461626455461702834[Revenues])</f>
        <v>0</v>
      </c>
      <c r="F27" s="6">
        <f>SUBTOTAL(9,Tableau4461626455461702834[Expenses])</f>
        <v>0</v>
      </c>
      <c r="G27" s="1"/>
      <c r="H27" s="32"/>
      <c r="I27" s="20"/>
      <c r="J27" s="21"/>
      <c r="K27" s="22"/>
      <c r="L27" s="22"/>
    </row>
    <row r="30" spans="1:12" ht="18" customHeight="1" x14ac:dyDescent="0.45">
      <c r="B30" s="31"/>
      <c r="C30" s="23"/>
      <c r="D30" s="23"/>
      <c r="E30" s="23"/>
      <c r="F30" s="23"/>
      <c r="H30" s="31"/>
      <c r="I30" s="23"/>
      <c r="J30" s="23"/>
      <c r="K30" s="23"/>
      <c r="L30" s="23"/>
    </row>
    <row r="31" spans="1:12" x14ac:dyDescent="0.45">
      <c r="B31" s="32"/>
      <c r="C31" s="20"/>
      <c r="D31" s="24"/>
      <c r="E31" s="25"/>
      <c r="F31" s="25"/>
      <c r="H31" s="32"/>
      <c r="I31" s="20"/>
      <c r="J31" s="24"/>
      <c r="K31" s="25"/>
      <c r="L31" s="25"/>
    </row>
    <row r="32" spans="1:12" x14ac:dyDescent="0.45">
      <c r="B32" s="32"/>
      <c r="C32" s="20"/>
      <c r="D32" s="24"/>
      <c r="E32" s="22"/>
      <c r="F32" s="22"/>
      <c r="H32" s="32"/>
      <c r="I32" s="20"/>
      <c r="J32" s="24"/>
      <c r="K32" s="22"/>
      <c r="L32" s="22"/>
    </row>
    <row r="33" spans="2:12" x14ac:dyDescent="0.45">
      <c r="B33" s="32"/>
      <c r="C33" s="20"/>
      <c r="D33" s="24"/>
      <c r="E33" s="22"/>
      <c r="F33" s="22"/>
      <c r="H33" s="32"/>
      <c r="I33" s="20"/>
      <c r="J33" s="24"/>
      <c r="K33" s="22"/>
      <c r="L33" s="22"/>
    </row>
    <row r="34" spans="2:12" x14ac:dyDescent="0.45">
      <c r="B34" s="32"/>
      <c r="C34" s="20"/>
      <c r="D34" s="24"/>
      <c r="E34" s="22"/>
      <c r="F34" s="22"/>
      <c r="H34" s="32"/>
      <c r="I34" s="20"/>
      <c r="J34" s="24"/>
      <c r="K34" s="22"/>
      <c r="L34" s="22"/>
    </row>
    <row r="35" spans="2:12" x14ac:dyDescent="0.45">
      <c r="B35" s="32"/>
      <c r="C35" s="20"/>
      <c r="D35" s="24"/>
      <c r="E35" s="22"/>
      <c r="F35" s="22"/>
      <c r="H35" s="32"/>
      <c r="I35" s="20"/>
      <c r="J35" s="24"/>
      <c r="K35" s="22"/>
      <c r="L35" s="22"/>
    </row>
    <row r="36" spans="2:12" x14ac:dyDescent="0.45">
      <c r="B36" s="32"/>
      <c r="C36" s="20"/>
      <c r="D36" s="24"/>
      <c r="E36" s="22"/>
      <c r="F36" s="22"/>
      <c r="H36" s="32"/>
      <c r="I36" s="20"/>
      <c r="J36" s="24"/>
      <c r="K36" s="22"/>
      <c r="L36" s="22"/>
    </row>
    <row r="37" spans="2:12" x14ac:dyDescent="0.45">
      <c r="B37" s="32"/>
      <c r="C37" s="20"/>
      <c r="D37" s="24"/>
      <c r="E37" s="22"/>
      <c r="F37" s="22"/>
      <c r="H37" s="32"/>
      <c r="I37" s="20"/>
      <c r="J37" s="24"/>
      <c r="K37" s="22"/>
      <c r="L37" s="22"/>
    </row>
    <row r="38" spans="2:12" x14ac:dyDescent="0.45">
      <c r="B38" s="32"/>
      <c r="C38" s="20"/>
      <c r="D38" s="24"/>
      <c r="E38" s="22"/>
      <c r="F38" s="22"/>
      <c r="H38" s="32"/>
      <c r="I38" s="20"/>
      <c r="J38" s="24"/>
      <c r="K38" s="22"/>
      <c r="L38" s="22"/>
    </row>
    <row r="39" spans="2:12" x14ac:dyDescent="0.45">
      <c r="B39" s="32"/>
      <c r="C39" s="20"/>
      <c r="D39" s="21"/>
      <c r="E39" s="22"/>
      <c r="F39" s="22"/>
      <c r="H39" s="32"/>
      <c r="I39" s="20"/>
      <c r="J39" s="21"/>
      <c r="K39" s="22"/>
      <c r="L39" s="22"/>
    </row>
    <row r="41" spans="2:12" x14ac:dyDescent="0.45">
      <c r="E41" s="16"/>
    </row>
    <row r="42" spans="2:12" ht="18" customHeight="1" x14ac:dyDescent="0.45">
      <c r="B42" s="31"/>
      <c r="C42" s="23"/>
      <c r="D42" s="23"/>
      <c r="E42" s="23"/>
      <c r="F42" s="23"/>
      <c r="H42" s="31"/>
      <c r="I42" s="23"/>
      <c r="J42" s="23"/>
      <c r="K42" s="23"/>
      <c r="L42" s="23"/>
    </row>
    <row r="43" spans="2:12" x14ac:dyDescent="0.45">
      <c r="B43" s="32"/>
      <c r="C43" s="20"/>
      <c r="D43" s="24"/>
      <c r="E43" s="25"/>
      <c r="F43" s="25"/>
      <c r="H43" s="32"/>
      <c r="I43" s="20"/>
      <c r="J43" s="24"/>
      <c r="K43" s="25"/>
      <c r="L43" s="25"/>
    </row>
    <row r="44" spans="2:12" x14ac:dyDescent="0.45">
      <c r="B44" s="32"/>
      <c r="C44" s="20"/>
      <c r="D44" s="24"/>
      <c r="E44" s="22"/>
      <c r="F44" s="22"/>
      <c r="H44" s="32"/>
      <c r="I44" s="20"/>
      <c r="J44" s="24"/>
      <c r="K44" s="22"/>
      <c r="L44" s="22"/>
    </row>
    <row r="45" spans="2:12" x14ac:dyDescent="0.45">
      <c r="B45" s="32"/>
      <c r="C45" s="20"/>
      <c r="D45" s="24"/>
      <c r="E45" s="22"/>
      <c r="F45" s="22"/>
      <c r="H45" s="32"/>
      <c r="I45" s="20"/>
      <c r="J45" s="24"/>
      <c r="K45" s="22"/>
      <c r="L45" s="22"/>
    </row>
    <row r="46" spans="2:12" x14ac:dyDescent="0.45">
      <c r="B46" s="32"/>
      <c r="C46" s="20"/>
      <c r="D46" s="24"/>
      <c r="E46" s="22"/>
      <c r="F46" s="22"/>
      <c r="H46" s="32"/>
      <c r="I46" s="20"/>
      <c r="J46" s="24"/>
      <c r="K46" s="22"/>
      <c r="L46" s="22"/>
    </row>
    <row r="47" spans="2:12" x14ac:dyDescent="0.45">
      <c r="B47" s="32"/>
      <c r="C47" s="20"/>
      <c r="D47" s="24"/>
      <c r="E47" s="22"/>
      <c r="F47" s="22"/>
      <c r="H47" s="32"/>
      <c r="I47" s="20"/>
      <c r="J47" s="24"/>
      <c r="K47" s="22"/>
      <c r="L47" s="22"/>
    </row>
    <row r="48" spans="2:12" x14ac:dyDescent="0.45">
      <c r="B48" s="32"/>
      <c r="C48" s="20"/>
      <c r="D48" s="24"/>
      <c r="E48" s="22"/>
      <c r="F48" s="22"/>
      <c r="H48" s="32"/>
      <c r="I48" s="20"/>
      <c r="J48" s="24"/>
      <c r="K48" s="22"/>
      <c r="L48" s="22"/>
    </row>
    <row r="49" spans="2:12" x14ac:dyDescent="0.45">
      <c r="B49" s="32"/>
      <c r="C49" s="20"/>
      <c r="D49" s="24"/>
      <c r="E49" s="22"/>
      <c r="F49" s="22"/>
      <c r="H49" s="32"/>
      <c r="I49" s="20"/>
      <c r="J49" s="24"/>
      <c r="K49" s="22"/>
      <c r="L49" s="22"/>
    </row>
    <row r="50" spans="2:12" x14ac:dyDescent="0.45">
      <c r="B50" s="32"/>
      <c r="C50" s="20"/>
      <c r="D50" s="24"/>
      <c r="E50" s="22"/>
      <c r="F50" s="22"/>
      <c r="H50" s="32"/>
      <c r="I50" s="20"/>
      <c r="J50" s="24"/>
      <c r="K50" s="22"/>
      <c r="L50" s="22"/>
    </row>
    <row r="51" spans="2:12" x14ac:dyDescent="0.45">
      <c r="B51" s="32"/>
      <c r="C51" s="20"/>
      <c r="D51" s="21"/>
      <c r="E51" s="22"/>
      <c r="F51" s="22"/>
      <c r="H51" s="32"/>
      <c r="I51" s="20"/>
      <c r="J51" s="21"/>
      <c r="K51" s="22"/>
      <c r="L51" s="22"/>
    </row>
    <row r="53" spans="2:12" x14ac:dyDescent="0.45">
      <c r="E53" s="16"/>
      <c r="K53" s="16"/>
    </row>
    <row r="54" spans="2:12" ht="18" customHeight="1" x14ac:dyDescent="0.45">
      <c r="B54" s="31"/>
      <c r="C54" s="23"/>
      <c r="D54" s="23"/>
      <c r="E54" s="23"/>
      <c r="F54" s="23"/>
      <c r="H54" s="31"/>
      <c r="I54" s="23"/>
      <c r="J54" s="23"/>
      <c r="K54" s="23"/>
      <c r="L54" s="23"/>
    </row>
    <row r="55" spans="2:12" x14ac:dyDescent="0.45">
      <c r="B55" s="32"/>
      <c r="C55" s="20"/>
      <c r="D55" s="24"/>
      <c r="E55" s="25"/>
      <c r="F55" s="25"/>
      <c r="H55" s="32"/>
      <c r="I55" s="20"/>
      <c r="J55" s="24"/>
      <c r="K55" s="25"/>
      <c r="L55" s="25"/>
    </row>
    <row r="56" spans="2:12" x14ac:dyDescent="0.45">
      <c r="B56" s="32"/>
      <c r="C56" s="20"/>
      <c r="D56" s="24"/>
      <c r="E56" s="22"/>
      <c r="F56" s="22"/>
      <c r="H56" s="32"/>
      <c r="I56" s="20"/>
      <c r="J56" s="24"/>
      <c r="K56" s="22"/>
      <c r="L56" s="22"/>
    </row>
    <row r="57" spans="2:12" x14ac:dyDescent="0.45">
      <c r="B57" s="32"/>
      <c r="C57" s="20"/>
      <c r="D57" s="24"/>
      <c r="E57" s="22"/>
      <c r="F57" s="22"/>
      <c r="H57" s="32"/>
      <c r="I57" s="20"/>
      <c r="J57" s="24"/>
      <c r="K57" s="22"/>
      <c r="L57" s="22"/>
    </row>
    <row r="58" spans="2:12" x14ac:dyDescent="0.45">
      <c r="B58" s="32"/>
      <c r="C58" s="20"/>
      <c r="D58" s="24"/>
      <c r="E58" s="22"/>
      <c r="F58" s="22"/>
      <c r="H58" s="32"/>
      <c r="I58" s="20"/>
      <c r="J58" s="24"/>
      <c r="K58" s="22"/>
      <c r="L58" s="22"/>
    </row>
    <row r="59" spans="2:12" x14ac:dyDescent="0.45">
      <c r="B59" s="32"/>
      <c r="C59" s="20"/>
      <c r="D59" s="24"/>
      <c r="E59" s="22"/>
      <c r="F59" s="22"/>
      <c r="H59" s="32"/>
      <c r="I59" s="20"/>
      <c r="J59" s="24"/>
      <c r="K59" s="22"/>
      <c r="L59" s="22"/>
    </row>
    <row r="60" spans="2:12" x14ac:dyDescent="0.45">
      <c r="B60" s="32"/>
      <c r="C60" s="20"/>
      <c r="D60" s="24"/>
      <c r="E60" s="22"/>
      <c r="F60" s="22"/>
      <c r="H60" s="32"/>
      <c r="I60" s="20"/>
      <c r="J60" s="24"/>
      <c r="K60" s="22"/>
      <c r="L60" s="22"/>
    </row>
    <row r="61" spans="2:12" x14ac:dyDescent="0.45">
      <c r="B61" s="32"/>
      <c r="C61" s="20"/>
      <c r="D61" s="24"/>
      <c r="E61" s="22"/>
      <c r="F61" s="22"/>
      <c r="H61" s="32"/>
      <c r="I61" s="20"/>
      <c r="J61" s="24"/>
      <c r="K61" s="22"/>
      <c r="L61" s="22"/>
    </row>
    <row r="62" spans="2:12" x14ac:dyDescent="0.45">
      <c r="B62" s="32"/>
      <c r="C62" s="20"/>
      <c r="D62" s="24"/>
      <c r="E62" s="22"/>
      <c r="F62" s="22"/>
      <c r="H62" s="32"/>
      <c r="I62" s="20"/>
      <c r="J62" s="24"/>
      <c r="K62" s="22"/>
      <c r="L62" s="22"/>
    </row>
    <row r="63" spans="2:12" x14ac:dyDescent="0.45">
      <c r="B63" s="32"/>
      <c r="C63" s="20"/>
      <c r="D63" s="21"/>
      <c r="E63" s="22"/>
      <c r="F63" s="22"/>
      <c r="H63" s="32"/>
      <c r="I63" s="20"/>
      <c r="J63" s="21"/>
      <c r="K63" s="22"/>
      <c r="L63" s="22"/>
    </row>
    <row r="66" spans="2:6" ht="18" customHeight="1" x14ac:dyDescent="0.45">
      <c r="B66" s="31"/>
      <c r="C66" s="23"/>
      <c r="D66" s="23"/>
      <c r="E66" s="23"/>
      <c r="F66" s="23"/>
    </row>
    <row r="67" spans="2:6" x14ac:dyDescent="0.45">
      <c r="B67" s="32"/>
      <c r="C67" s="20"/>
      <c r="D67" s="24"/>
      <c r="E67" s="25"/>
      <c r="F67" s="25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4"/>
      <c r="E73" s="22"/>
      <c r="F73" s="22"/>
    </row>
    <row r="74" spans="2:6" x14ac:dyDescent="0.45">
      <c r="B74" s="32"/>
      <c r="C74" s="20"/>
      <c r="D74" s="24"/>
      <c r="E74" s="22"/>
      <c r="F74" s="22"/>
    </row>
    <row r="75" spans="2:6" x14ac:dyDescent="0.45">
      <c r="B75" s="32"/>
      <c r="C75" s="20"/>
      <c r="D75" s="21"/>
      <c r="E75" s="22"/>
      <c r="F75" s="22"/>
    </row>
  </sheetData>
  <mergeCells count="12">
    <mergeCell ref="B66:B75"/>
    <mergeCell ref="B4:B15"/>
    <mergeCell ref="H42:H51"/>
    <mergeCell ref="C2:F2"/>
    <mergeCell ref="H54:H63"/>
    <mergeCell ref="B18:B27"/>
    <mergeCell ref="B54:B63"/>
    <mergeCell ref="H18:H27"/>
    <mergeCell ref="H4:H13"/>
    <mergeCell ref="B30:B39"/>
    <mergeCell ref="H30:H39"/>
    <mergeCell ref="B42:B51"/>
  </mergeCells>
  <pageMargins left="0.7" right="0.7" top="0.75" bottom="0.75" header="0.3" footer="0.3"/>
  <pageSetup paperSize="9" orientation="portrait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3"/>
  <sheetViews>
    <sheetView zoomScale="66" workbookViewId="0">
      <selection activeCell="C2" sqref="C2:F2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40.59765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40.59765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45</v>
      </c>
      <c r="D2" s="32"/>
      <c r="E2" s="32"/>
      <c r="F2" s="32"/>
      <c r="G2" s="1"/>
      <c r="H2" s="2"/>
      <c r="I2" s="19" t="s">
        <v>0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31</v>
      </c>
      <c r="C4" s="3" t="s">
        <v>21</v>
      </c>
      <c r="D4" s="3" t="s">
        <v>1</v>
      </c>
      <c r="E4" s="3" t="s">
        <v>22</v>
      </c>
      <c r="F4" s="3" t="s">
        <v>23</v>
      </c>
      <c r="G4" s="1"/>
      <c r="H4" s="33" t="s">
        <v>9</v>
      </c>
      <c r="I4" s="3" t="s">
        <v>21</v>
      </c>
      <c r="J4" s="3" t="s">
        <v>1</v>
      </c>
      <c r="K4" s="3" t="s">
        <v>22</v>
      </c>
      <c r="L4" s="3" t="s">
        <v>23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x14ac:dyDescent="0.45">
      <c r="A13" s="1"/>
      <c r="B13" s="32"/>
      <c r="C13" s="4" t="s">
        <v>2</v>
      </c>
      <c r="D13" s="8"/>
      <c r="E13" s="6">
        <f>SUBTOTAL(9,Tableau413234251586722[Revenues])</f>
        <v>0</v>
      </c>
      <c r="F13" s="6">
        <f>SUBTOTAL(9,Tableau413234251586722[Expenses])</f>
        <v>0</v>
      </c>
      <c r="G13" s="1"/>
      <c r="H13" s="32"/>
      <c r="I13" s="4" t="s">
        <v>2</v>
      </c>
      <c r="J13" s="8"/>
      <c r="K13" s="6">
        <f>SUBTOTAL(9,Tableau4461626455461701432[Revenues])</f>
        <v>0</v>
      </c>
      <c r="L13" s="6">
        <f>SUBTOTAL(9,Tableau4461626455461701432[Expenses])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3" t="s">
        <v>32</v>
      </c>
      <c r="C16" s="3" t="s">
        <v>21</v>
      </c>
      <c r="D16" s="3" t="s">
        <v>1</v>
      </c>
      <c r="E16" s="3" t="s">
        <v>22</v>
      </c>
      <c r="F16" s="3" t="s">
        <v>23</v>
      </c>
      <c r="G16" s="1"/>
      <c r="H16" s="33" t="s">
        <v>33</v>
      </c>
      <c r="I16" s="3" t="s">
        <v>21</v>
      </c>
      <c r="J16" s="3" t="s">
        <v>1</v>
      </c>
      <c r="K16" s="3" t="s">
        <v>22</v>
      </c>
      <c r="L16" s="3" t="s">
        <v>23</v>
      </c>
    </row>
    <row r="17" spans="1:12" x14ac:dyDescent="0.45">
      <c r="A17" s="1"/>
      <c r="B17" s="32"/>
      <c r="C17" s="4"/>
      <c r="D17" s="5"/>
      <c r="E17" s="7"/>
      <c r="F17" s="7"/>
      <c r="G17" s="1"/>
      <c r="H17" s="32"/>
      <c r="I17" s="4"/>
      <c r="J17" s="5"/>
      <c r="K17" s="7"/>
      <c r="L17" s="7"/>
    </row>
    <row r="18" spans="1:12" x14ac:dyDescent="0.45">
      <c r="A18" s="1"/>
      <c r="B18" s="32"/>
      <c r="C18" s="4"/>
      <c r="D18" s="5"/>
      <c r="E18" s="6"/>
      <c r="F18" s="6"/>
      <c r="G18" s="1"/>
      <c r="H18" s="32"/>
      <c r="I18" s="4"/>
      <c r="J18" s="5"/>
      <c r="K18" s="6"/>
      <c r="L18" s="6"/>
    </row>
    <row r="19" spans="1:12" x14ac:dyDescent="0.45">
      <c r="A19" s="1"/>
      <c r="B19" s="32"/>
      <c r="C19" s="4"/>
      <c r="D19" s="5"/>
      <c r="E19" s="6"/>
      <c r="F19" s="6"/>
      <c r="G19" s="1"/>
      <c r="H19" s="32"/>
      <c r="I19" s="4"/>
      <c r="J19" s="5"/>
      <c r="K19" s="6"/>
      <c r="L19" s="6"/>
    </row>
    <row r="20" spans="1:12" x14ac:dyDescent="0.45">
      <c r="A20" s="1"/>
      <c r="B20" s="32"/>
      <c r="C20" s="4"/>
      <c r="D20" s="5"/>
      <c r="E20" s="6"/>
      <c r="F20" s="6"/>
      <c r="G20" s="1"/>
      <c r="H20" s="32"/>
      <c r="I20" s="4"/>
      <c r="J20" s="5"/>
      <c r="K20" s="6"/>
      <c r="L20" s="6"/>
    </row>
    <row r="21" spans="1:12" x14ac:dyDescent="0.45">
      <c r="A21" s="1"/>
      <c r="B21" s="32"/>
      <c r="C21" s="4"/>
      <c r="D21" s="5"/>
      <c r="E21" s="6"/>
      <c r="F21" s="6"/>
      <c r="G21" s="1"/>
      <c r="H21" s="32"/>
      <c r="I21" s="4"/>
      <c r="J21" s="5"/>
      <c r="K21" s="6"/>
      <c r="L21" s="6"/>
    </row>
    <row r="22" spans="1:12" x14ac:dyDescent="0.45">
      <c r="A22" s="1"/>
      <c r="B22" s="32"/>
      <c r="C22" s="4"/>
      <c r="D22" s="5"/>
      <c r="E22" s="6"/>
      <c r="F22" s="6"/>
      <c r="G22" s="1"/>
      <c r="H22" s="32"/>
      <c r="I22" s="4"/>
      <c r="J22" s="5"/>
      <c r="K22" s="6"/>
      <c r="L22" s="6"/>
    </row>
    <row r="23" spans="1:12" x14ac:dyDescent="0.45">
      <c r="A23" s="1"/>
      <c r="B23" s="32"/>
      <c r="C23" s="4"/>
      <c r="D23" s="5"/>
      <c r="E23" s="6"/>
      <c r="F23" s="6"/>
      <c r="G23" s="1"/>
      <c r="H23" s="32"/>
      <c r="I23" s="4"/>
      <c r="J23" s="5"/>
      <c r="K23" s="6"/>
      <c r="L23" s="6"/>
    </row>
    <row r="24" spans="1:12" x14ac:dyDescent="0.45">
      <c r="A24" s="1"/>
      <c r="B24" s="32"/>
      <c r="C24" s="4"/>
      <c r="D24" s="5"/>
      <c r="E24" s="6"/>
      <c r="F24" s="6"/>
      <c r="G24" s="1"/>
      <c r="H24" s="32"/>
      <c r="I24" s="4"/>
      <c r="J24" s="5"/>
      <c r="K24" s="6"/>
      <c r="L24" s="6"/>
    </row>
    <row r="25" spans="1:12" x14ac:dyDescent="0.45">
      <c r="A25" s="1"/>
      <c r="B25" s="32"/>
      <c r="C25" s="4" t="s">
        <v>2</v>
      </c>
      <c r="D25" s="8"/>
      <c r="E25" s="6">
        <f>SUBTOTAL(9,Tableau44616264554617028[Revenues])</f>
        <v>0</v>
      </c>
      <c r="F25" s="6">
        <f>SUBTOTAL(9,Tableau44616264554617028[Expenses])</f>
        <v>0</v>
      </c>
      <c r="G25" s="1"/>
      <c r="H25" s="32"/>
      <c r="I25" s="4" t="s">
        <v>2</v>
      </c>
      <c r="J25" s="8"/>
      <c r="K25" s="6">
        <f>SUBTOTAL(9,Tableau4461626455461702024[Revenues])</f>
        <v>0</v>
      </c>
      <c r="L25" s="6">
        <f>SUBTOTAL(9,Tableau4461626455461702024[Expenses])</f>
        <v>0</v>
      </c>
    </row>
    <row r="28" spans="1:12" ht="18" customHeight="1" x14ac:dyDescent="0.45">
      <c r="B28" s="33" t="s">
        <v>10</v>
      </c>
      <c r="C28" s="3" t="s">
        <v>21</v>
      </c>
      <c r="D28" s="3" t="s">
        <v>1</v>
      </c>
      <c r="E28" s="3" t="s">
        <v>22</v>
      </c>
      <c r="F28" s="3" t="s">
        <v>23</v>
      </c>
      <c r="H28" s="33" t="s">
        <v>34</v>
      </c>
      <c r="I28" s="3" t="s">
        <v>21</v>
      </c>
      <c r="J28" s="3" t="s">
        <v>1</v>
      </c>
      <c r="K28" s="3" t="s">
        <v>22</v>
      </c>
      <c r="L28" s="3" t="s">
        <v>23</v>
      </c>
    </row>
    <row r="29" spans="1:12" x14ac:dyDescent="0.45">
      <c r="B29" s="32"/>
      <c r="C29" s="4"/>
      <c r="D29" s="5"/>
      <c r="E29" s="7"/>
      <c r="F29" s="7"/>
      <c r="H29" s="32"/>
      <c r="I29" s="4"/>
      <c r="J29" s="5"/>
      <c r="K29" s="7"/>
      <c r="L29" s="7"/>
    </row>
    <row r="30" spans="1:12" x14ac:dyDescent="0.45">
      <c r="B30" s="32"/>
      <c r="C30" s="4"/>
      <c r="D30" s="5"/>
      <c r="E30" s="6"/>
      <c r="F30" s="6"/>
      <c r="H30" s="32"/>
      <c r="I30" s="4"/>
      <c r="J30" s="5"/>
      <c r="K30" s="6"/>
      <c r="L30" s="6"/>
    </row>
    <row r="31" spans="1:12" x14ac:dyDescent="0.45">
      <c r="B31" s="32"/>
      <c r="C31" s="4"/>
      <c r="D31" s="5"/>
      <c r="E31" s="6"/>
      <c r="F31" s="6"/>
      <c r="H31" s="32"/>
      <c r="I31" s="4"/>
      <c r="J31" s="5"/>
      <c r="K31" s="6"/>
      <c r="L31" s="6"/>
    </row>
    <row r="32" spans="1:12" x14ac:dyDescent="0.45">
      <c r="B32" s="32"/>
      <c r="C32" s="4"/>
      <c r="D32" s="5"/>
      <c r="E32" s="6"/>
      <c r="F32" s="6"/>
      <c r="H32" s="32"/>
      <c r="I32" s="4"/>
      <c r="J32" s="5"/>
      <c r="K32" s="6"/>
      <c r="L32" s="6"/>
    </row>
    <row r="33" spans="2:12" x14ac:dyDescent="0.45">
      <c r="B33" s="32"/>
      <c r="C33" s="4"/>
      <c r="D33" s="5"/>
      <c r="E33" s="6"/>
      <c r="F33" s="6"/>
      <c r="H33" s="32"/>
      <c r="I33" s="4"/>
      <c r="J33" s="5"/>
      <c r="K33" s="6"/>
      <c r="L33" s="6"/>
    </row>
    <row r="34" spans="2:12" x14ac:dyDescent="0.45">
      <c r="B34" s="32"/>
      <c r="C34" s="4"/>
      <c r="D34" s="5"/>
      <c r="E34" s="6"/>
      <c r="F34" s="6"/>
      <c r="H34" s="32"/>
      <c r="I34" s="4"/>
      <c r="J34" s="5"/>
      <c r="K34" s="6"/>
      <c r="L34" s="6"/>
    </row>
    <row r="35" spans="2:12" x14ac:dyDescent="0.45">
      <c r="B35" s="32"/>
      <c r="C35" s="4"/>
      <c r="D35" s="5"/>
      <c r="E35" s="6"/>
      <c r="F35" s="6"/>
      <c r="H35" s="32"/>
      <c r="I35" s="4"/>
      <c r="J35" s="5"/>
      <c r="K35" s="6"/>
      <c r="L35" s="6"/>
    </row>
    <row r="36" spans="2:12" x14ac:dyDescent="0.45">
      <c r="B36" s="32"/>
      <c r="C36" s="4"/>
      <c r="D36" s="5"/>
      <c r="E36" s="6"/>
      <c r="F36" s="6"/>
      <c r="H36" s="32"/>
      <c r="I36" s="4"/>
      <c r="J36" s="5"/>
      <c r="K36" s="6"/>
      <c r="L36" s="6"/>
    </row>
    <row r="37" spans="2:12" x14ac:dyDescent="0.45">
      <c r="B37" s="32"/>
      <c r="C37" s="4" t="s">
        <v>2</v>
      </c>
      <c r="D37" s="8"/>
      <c r="E37" s="6">
        <f>SUBTOTAL(9,Tableau4461626455461702125[Revenues])</f>
        <v>0</v>
      </c>
      <c r="F37" s="6">
        <f>SUBTOTAL(9,Tableau4461626455461702125[Expenses])</f>
        <v>0</v>
      </c>
      <c r="H37" s="32"/>
      <c r="I37" s="4" t="s">
        <v>2</v>
      </c>
      <c r="J37" s="8"/>
      <c r="K37" s="6">
        <f>SUBTOTAL(9,Tableau4461626455461702226[Revenues])</f>
        <v>0</v>
      </c>
      <c r="L37" s="6">
        <f>SUBTOTAL(9,Tableau4461626455461702226[Expenses])</f>
        <v>0</v>
      </c>
    </row>
    <row r="39" spans="2:12" x14ac:dyDescent="0.45">
      <c r="E39" s="16"/>
    </row>
    <row r="40" spans="2:12" ht="18" customHeight="1" x14ac:dyDescent="0.45">
      <c r="B40" s="33" t="s">
        <v>11</v>
      </c>
      <c r="C40" s="3" t="s">
        <v>21</v>
      </c>
      <c r="D40" s="3" t="s">
        <v>1</v>
      </c>
      <c r="E40" s="3" t="s">
        <v>22</v>
      </c>
      <c r="F40" s="3" t="s">
        <v>23</v>
      </c>
      <c r="H40" s="33" t="s">
        <v>35</v>
      </c>
      <c r="I40" s="3" t="s">
        <v>21</v>
      </c>
      <c r="J40" s="3" t="s">
        <v>1</v>
      </c>
      <c r="K40" s="3" t="s">
        <v>22</v>
      </c>
      <c r="L40" s="3" t="s">
        <v>23</v>
      </c>
    </row>
    <row r="41" spans="2:12" x14ac:dyDescent="0.45">
      <c r="B41" s="32"/>
      <c r="C41" s="4"/>
      <c r="D41" s="5"/>
      <c r="E41" s="7"/>
      <c r="F41" s="7"/>
      <c r="H41" s="32"/>
      <c r="I41" s="4"/>
      <c r="J41" s="5"/>
      <c r="K41" s="7"/>
      <c r="L41" s="7"/>
    </row>
    <row r="42" spans="2:12" x14ac:dyDescent="0.45">
      <c r="B42" s="32"/>
      <c r="C42" s="4"/>
      <c r="D42" s="5"/>
      <c r="E42" s="6"/>
      <c r="F42" s="6"/>
      <c r="H42" s="32"/>
      <c r="I42" s="4"/>
      <c r="J42" s="5"/>
      <c r="K42" s="6"/>
      <c r="L42" s="6"/>
    </row>
    <row r="43" spans="2:12" x14ac:dyDescent="0.45">
      <c r="B43" s="32"/>
      <c r="C43" s="4"/>
      <c r="D43" s="5"/>
      <c r="E43" s="6"/>
      <c r="F43" s="6"/>
      <c r="H43" s="32"/>
      <c r="I43" s="4"/>
      <c r="J43" s="5"/>
      <c r="K43" s="6"/>
      <c r="L43" s="6"/>
    </row>
    <row r="44" spans="2:12" x14ac:dyDescent="0.45">
      <c r="B44" s="32"/>
      <c r="C44" s="4"/>
      <c r="D44" s="5"/>
      <c r="E44" s="6"/>
      <c r="F44" s="6"/>
      <c r="H44" s="32"/>
      <c r="I44" s="4"/>
      <c r="J44" s="5"/>
      <c r="K44" s="6"/>
      <c r="L44" s="6"/>
    </row>
    <row r="45" spans="2:12" x14ac:dyDescent="0.45">
      <c r="B45" s="32"/>
      <c r="C45" s="4"/>
      <c r="D45" s="5"/>
      <c r="E45" s="6"/>
      <c r="F45" s="6"/>
      <c r="H45" s="32"/>
      <c r="I45" s="4"/>
      <c r="J45" s="5"/>
      <c r="K45" s="6"/>
      <c r="L45" s="6"/>
    </row>
    <row r="46" spans="2:12" x14ac:dyDescent="0.45">
      <c r="B46" s="32"/>
      <c r="C46" s="4"/>
      <c r="D46" s="5"/>
      <c r="E46" s="6"/>
      <c r="F46" s="6"/>
      <c r="H46" s="32"/>
      <c r="I46" s="4"/>
      <c r="J46" s="5"/>
      <c r="K46" s="6"/>
      <c r="L46" s="6"/>
    </row>
    <row r="47" spans="2:12" x14ac:dyDescent="0.45">
      <c r="B47" s="32"/>
      <c r="C47" s="4"/>
      <c r="D47" s="5"/>
      <c r="E47" s="6"/>
      <c r="F47" s="6"/>
      <c r="H47" s="32"/>
      <c r="I47" s="4"/>
      <c r="J47" s="5"/>
      <c r="K47" s="6"/>
      <c r="L47" s="6"/>
    </row>
    <row r="48" spans="2:12" x14ac:dyDescent="0.45">
      <c r="B48" s="32"/>
      <c r="C48" s="4"/>
      <c r="D48" s="5"/>
      <c r="E48" s="6"/>
      <c r="F48" s="6"/>
      <c r="H48" s="32"/>
      <c r="I48" s="4"/>
      <c r="J48" s="5"/>
      <c r="K48" s="6"/>
      <c r="L48" s="6"/>
    </row>
    <row r="49" spans="2:12" x14ac:dyDescent="0.45">
      <c r="B49" s="32"/>
      <c r="C49" s="4" t="s">
        <v>2</v>
      </c>
      <c r="D49" s="8"/>
      <c r="E49" s="6">
        <f>SUBTOTAL(9,Tableau4461626455461702327[Revenues])</f>
        <v>0</v>
      </c>
      <c r="F49" s="6">
        <f>SUBTOTAL(9,Tableau4461626455461702327[Expenses])</f>
        <v>0</v>
      </c>
      <c r="H49" s="32"/>
      <c r="I49" s="4" t="s">
        <v>2</v>
      </c>
      <c r="J49" s="8"/>
      <c r="K49" s="6">
        <f>SUBTOTAL(9,Tableau4461626455461702428[Revenues])</f>
        <v>0</v>
      </c>
      <c r="L49" s="6">
        <f>SUBTOTAL(9,Tableau4461626455461702428[Expenses])</f>
        <v>0</v>
      </c>
    </row>
    <row r="51" spans="2:12" x14ac:dyDescent="0.45">
      <c r="E51" s="16"/>
      <c r="K51" s="16"/>
    </row>
    <row r="52" spans="2:12" ht="18" customHeight="1" x14ac:dyDescent="0.45">
      <c r="B52" s="33" t="s">
        <v>36</v>
      </c>
      <c r="C52" s="3" t="s">
        <v>21</v>
      </c>
      <c r="D52" s="3" t="s">
        <v>1</v>
      </c>
      <c r="E52" s="3" t="s">
        <v>22</v>
      </c>
      <c r="F52" s="3" t="s">
        <v>23</v>
      </c>
      <c r="H52" s="31"/>
      <c r="I52" s="23"/>
      <c r="J52" s="23"/>
      <c r="K52" s="23"/>
      <c r="L52" s="23"/>
    </row>
    <row r="53" spans="2:12" x14ac:dyDescent="0.45">
      <c r="B53" s="32"/>
      <c r="C53" s="4"/>
      <c r="D53" s="5"/>
      <c r="E53" s="7"/>
      <c r="F53" s="7"/>
      <c r="H53" s="32"/>
      <c r="I53" s="20"/>
      <c r="J53" s="24"/>
      <c r="K53" s="25"/>
      <c r="L53" s="25"/>
    </row>
    <row r="54" spans="2:12" x14ac:dyDescent="0.45">
      <c r="B54" s="32"/>
      <c r="C54" s="4"/>
      <c r="D54" s="5"/>
      <c r="E54" s="6"/>
      <c r="F54" s="6"/>
      <c r="H54" s="32"/>
      <c r="I54" s="20"/>
      <c r="J54" s="24"/>
      <c r="K54" s="22"/>
      <c r="L54" s="22"/>
    </row>
    <row r="55" spans="2:12" x14ac:dyDescent="0.45">
      <c r="B55" s="32"/>
      <c r="C55" s="4"/>
      <c r="D55" s="5"/>
      <c r="E55" s="6"/>
      <c r="F55" s="6"/>
      <c r="H55" s="32"/>
      <c r="I55" s="20"/>
      <c r="J55" s="24"/>
      <c r="K55" s="22"/>
      <c r="L55" s="22"/>
    </row>
    <row r="56" spans="2:12" x14ac:dyDescent="0.45">
      <c r="B56" s="32"/>
      <c r="C56" s="4"/>
      <c r="D56" s="5"/>
      <c r="E56" s="6"/>
      <c r="F56" s="6"/>
      <c r="H56" s="32"/>
      <c r="I56" s="20"/>
      <c r="J56" s="24"/>
      <c r="K56" s="22"/>
      <c r="L56" s="22"/>
    </row>
    <row r="57" spans="2:12" x14ac:dyDescent="0.45">
      <c r="B57" s="32"/>
      <c r="C57" s="4"/>
      <c r="D57" s="5"/>
      <c r="E57" s="6"/>
      <c r="F57" s="6"/>
      <c r="H57" s="32"/>
      <c r="I57" s="20"/>
      <c r="J57" s="24"/>
      <c r="K57" s="22"/>
      <c r="L57" s="22"/>
    </row>
    <row r="58" spans="2:12" x14ac:dyDescent="0.45">
      <c r="B58" s="32"/>
      <c r="C58" s="4"/>
      <c r="D58" s="5"/>
      <c r="E58" s="6"/>
      <c r="F58" s="6"/>
      <c r="H58" s="32"/>
      <c r="I58" s="20"/>
      <c r="J58" s="24"/>
      <c r="K58" s="22"/>
      <c r="L58" s="22"/>
    </row>
    <row r="59" spans="2:12" x14ac:dyDescent="0.45">
      <c r="B59" s="32"/>
      <c r="C59" s="4"/>
      <c r="D59" s="5"/>
      <c r="E59" s="6"/>
      <c r="F59" s="6"/>
      <c r="H59" s="32"/>
      <c r="I59" s="20"/>
      <c r="J59" s="24"/>
      <c r="K59" s="22"/>
      <c r="L59" s="22"/>
    </row>
    <row r="60" spans="2:12" x14ac:dyDescent="0.45">
      <c r="B60" s="32"/>
      <c r="C60" s="4"/>
      <c r="D60" s="5"/>
      <c r="E60" s="6"/>
      <c r="F60" s="6"/>
      <c r="H60" s="32"/>
      <c r="I60" s="20"/>
      <c r="J60" s="24"/>
      <c r="K60" s="22"/>
      <c r="L60" s="22"/>
    </row>
    <row r="61" spans="2:12" x14ac:dyDescent="0.45">
      <c r="B61" s="32"/>
      <c r="C61" s="4" t="s">
        <v>2</v>
      </c>
      <c r="D61" s="8"/>
      <c r="E61" s="6">
        <f>SUBTOTAL(9,Tableau4461626455461702529[Revenues])</f>
        <v>0</v>
      </c>
      <c r="F61" s="6">
        <f>SUBTOTAL(9,Tableau4461626455461702529[Expenses])</f>
        <v>0</v>
      </c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B28:B37"/>
    <mergeCell ref="H16:H25"/>
    <mergeCell ref="B52:B61"/>
  </mergeCells>
  <pageMargins left="0.7" right="0.7" top="0.75" bottom="0.75" header="0.3" footer="0.3"/>
  <pageSetup paperSize="9" orientation="portrait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73"/>
  <sheetViews>
    <sheetView zoomScale="66" workbookViewId="0">
      <selection activeCell="C2" sqref="C2:F2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46</v>
      </c>
      <c r="D2" s="32"/>
      <c r="E2" s="32"/>
      <c r="F2" s="32"/>
      <c r="G2" s="1"/>
      <c r="H2" s="2"/>
      <c r="I2" s="19" t="s">
        <v>0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37</v>
      </c>
      <c r="C4" s="3" t="s">
        <v>21</v>
      </c>
      <c r="D4" s="3" t="s">
        <v>1</v>
      </c>
      <c r="E4" s="3" t="s">
        <v>22</v>
      </c>
      <c r="F4" s="3" t="s">
        <v>23</v>
      </c>
      <c r="G4" s="1"/>
      <c r="H4" s="33" t="s">
        <v>38</v>
      </c>
      <c r="I4" s="3" t="s">
        <v>21</v>
      </c>
      <c r="J4" s="3" t="s">
        <v>1</v>
      </c>
      <c r="K4" s="3" t="s">
        <v>22</v>
      </c>
      <c r="L4" s="3" t="s">
        <v>23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x14ac:dyDescent="0.45">
      <c r="A13" s="1"/>
      <c r="B13" s="32"/>
      <c r="C13" s="4" t="s">
        <v>2</v>
      </c>
      <c r="D13" s="8"/>
      <c r="E13" s="6">
        <f>SUBTOTAL(9,Tableau41323425158672251[Revenues])</f>
        <v>0</v>
      </c>
      <c r="F13" s="6">
        <f>SUBTOTAL(9,Tableau41323425158672251[Expenses])</f>
        <v>0</v>
      </c>
      <c r="G13" s="1"/>
      <c r="H13" s="32"/>
      <c r="I13" s="4" t="s">
        <v>2</v>
      </c>
      <c r="J13" s="8"/>
      <c r="K13" s="6">
        <f>SUBTOTAL(9,Tableau446162645546170143259[Revenues])</f>
        <v>0</v>
      </c>
      <c r="L13" s="6">
        <f>SUBTOTAL(9,Tableau446162645546170143259[Expenses])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3" t="s">
        <v>18</v>
      </c>
      <c r="C16" s="3" t="s">
        <v>21</v>
      </c>
      <c r="D16" s="3" t="s">
        <v>1</v>
      </c>
      <c r="E16" s="3" t="s">
        <v>22</v>
      </c>
      <c r="F16" s="3" t="s">
        <v>23</v>
      </c>
      <c r="G16" s="1"/>
      <c r="H16" s="33" t="s">
        <v>39</v>
      </c>
      <c r="I16" s="3" t="s">
        <v>21</v>
      </c>
      <c r="J16" s="3" t="s">
        <v>1</v>
      </c>
      <c r="K16" s="3" t="s">
        <v>22</v>
      </c>
      <c r="L16" s="3" t="s">
        <v>23</v>
      </c>
    </row>
    <row r="17" spans="1:12" x14ac:dyDescent="0.45">
      <c r="A17" s="1"/>
      <c r="B17" s="32"/>
      <c r="C17" s="4"/>
      <c r="D17" s="5"/>
      <c r="E17" s="7"/>
      <c r="F17" s="7"/>
      <c r="G17" s="1"/>
      <c r="H17" s="32"/>
      <c r="I17" s="4"/>
      <c r="J17" s="5"/>
      <c r="K17" s="7"/>
      <c r="L17" s="7"/>
    </row>
    <row r="18" spans="1:12" x14ac:dyDescent="0.45">
      <c r="A18" s="1"/>
      <c r="B18" s="32"/>
      <c r="C18" s="4"/>
      <c r="D18" s="5"/>
      <c r="E18" s="6"/>
      <c r="F18" s="6"/>
      <c r="G18" s="1"/>
      <c r="H18" s="32"/>
      <c r="I18" s="4"/>
      <c r="J18" s="5"/>
      <c r="K18" s="6"/>
      <c r="L18" s="6"/>
    </row>
    <row r="19" spans="1:12" x14ac:dyDescent="0.45">
      <c r="A19" s="1"/>
      <c r="B19" s="32"/>
      <c r="C19" s="4"/>
      <c r="D19" s="5"/>
      <c r="E19" s="6"/>
      <c r="F19" s="6"/>
      <c r="G19" s="1"/>
      <c r="H19" s="32"/>
      <c r="I19" s="4"/>
      <c r="J19" s="5"/>
      <c r="K19" s="6"/>
      <c r="L19" s="6"/>
    </row>
    <row r="20" spans="1:12" x14ac:dyDescent="0.45">
      <c r="A20" s="1"/>
      <c r="B20" s="32"/>
      <c r="C20" s="4"/>
      <c r="D20" s="5"/>
      <c r="E20" s="6"/>
      <c r="F20" s="6"/>
      <c r="G20" s="1"/>
      <c r="H20" s="32"/>
      <c r="I20" s="4"/>
      <c r="J20" s="5"/>
      <c r="K20" s="6"/>
      <c r="L20" s="6"/>
    </row>
    <row r="21" spans="1:12" x14ac:dyDescent="0.45">
      <c r="A21" s="1"/>
      <c r="B21" s="32"/>
      <c r="C21" s="4"/>
      <c r="D21" s="5"/>
      <c r="E21" s="6"/>
      <c r="F21" s="6"/>
      <c r="G21" s="1"/>
      <c r="H21" s="32"/>
      <c r="I21" s="4"/>
      <c r="J21" s="5"/>
      <c r="K21" s="6"/>
      <c r="L21" s="6"/>
    </row>
    <row r="22" spans="1:12" x14ac:dyDescent="0.45">
      <c r="A22" s="1"/>
      <c r="B22" s="32"/>
      <c r="C22" s="4"/>
      <c r="D22" s="5"/>
      <c r="E22" s="6"/>
      <c r="F22" s="6"/>
      <c r="G22" s="1"/>
      <c r="H22" s="32"/>
      <c r="I22" s="4"/>
      <c r="J22" s="5"/>
      <c r="K22" s="6"/>
      <c r="L22" s="6"/>
    </row>
    <row r="23" spans="1:12" x14ac:dyDescent="0.45">
      <c r="A23" s="1"/>
      <c r="B23" s="32"/>
      <c r="C23" s="4"/>
      <c r="D23" s="5"/>
      <c r="E23" s="6"/>
      <c r="F23" s="6"/>
      <c r="G23" s="1"/>
      <c r="H23" s="32"/>
      <c r="I23" s="4"/>
      <c r="J23" s="5"/>
      <c r="K23" s="6"/>
      <c r="L23" s="6"/>
    </row>
    <row r="24" spans="1:12" x14ac:dyDescent="0.45">
      <c r="A24" s="1"/>
      <c r="B24" s="32"/>
      <c r="C24" s="4"/>
      <c r="D24" s="5"/>
      <c r="E24" s="6"/>
      <c r="F24" s="6"/>
      <c r="G24" s="1"/>
      <c r="H24" s="32"/>
      <c r="I24" s="4"/>
      <c r="J24" s="5"/>
      <c r="K24" s="6"/>
      <c r="L24" s="6"/>
    </row>
    <row r="25" spans="1:12" x14ac:dyDescent="0.45">
      <c r="A25" s="1"/>
      <c r="B25" s="32"/>
      <c r="C25" s="4" t="s">
        <v>2</v>
      </c>
      <c r="D25" s="8"/>
      <c r="E25" s="6">
        <f>SUBTOTAL(9,Tableau4461626455461702852[Revenues])</f>
        <v>0</v>
      </c>
      <c r="F25" s="6">
        <f>SUBTOTAL(9,Tableau4461626455461702852[Expenses])</f>
        <v>0</v>
      </c>
      <c r="G25" s="1"/>
      <c r="H25" s="32"/>
      <c r="I25" s="4" t="s">
        <v>2</v>
      </c>
      <c r="J25" s="8"/>
      <c r="K25" s="6">
        <f>SUBTOTAL(9,Tableau446162645546170202453[Revenues])</f>
        <v>0</v>
      </c>
      <c r="L25" s="6">
        <f>SUBTOTAL(9,Tableau446162645546170202453[Expenses])</f>
        <v>0</v>
      </c>
    </row>
    <row r="28" spans="1:12" ht="18" customHeight="1" x14ac:dyDescent="0.45">
      <c r="B28" s="33" t="s">
        <v>40</v>
      </c>
      <c r="C28" s="3" t="s">
        <v>21</v>
      </c>
      <c r="D28" s="3" t="s">
        <v>1</v>
      </c>
      <c r="E28" s="3" t="s">
        <v>22</v>
      </c>
      <c r="F28" s="3" t="s">
        <v>23</v>
      </c>
      <c r="H28" s="33" t="s">
        <v>20</v>
      </c>
      <c r="I28" s="3" t="s">
        <v>21</v>
      </c>
      <c r="J28" s="3" t="s">
        <v>1</v>
      </c>
      <c r="K28" s="3" t="s">
        <v>22</v>
      </c>
      <c r="L28" s="3" t="s">
        <v>23</v>
      </c>
    </row>
    <row r="29" spans="1:12" x14ac:dyDescent="0.45">
      <c r="B29" s="32"/>
      <c r="C29" s="4"/>
      <c r="D29" s="5"/>
      <c r="E29" s="7"/>
      <c r="F29" s="7"/>
      <c r="H29" s="32"/>
      <c r="I29" s="4"/>
      <c r="J29" s="5"/>
      <c r="K29" s="7"/>
      <c r="L29" s="7"/>
    </row>
    <row r="30" spans="1:12" x14ac:dyDescent="0.45">
      <c r="B30" s="32"/>
      <c r="C30" s="4"/>
      <c r="D30" s="5"/>
      <c r="E30" s="6"/>
      <c r="F30" s="6"/>
      <c r="H30" s="32"/>
      <c r="I30" s="4"/>
      <c r="J30" s="5"/>
      <c r="K30" s="6"/>
      <c r="L30" s="6"/>
    </row>
    <row r="31" spans="1:12" x14ac:dyDescent="0.45">
      <c r="B31" s="32"/>
      <c r="C31" s="4"/>
      <c r="D31" s="5"/>
      <c r="E31" s="6"/>
      <c r="F31" s="6"/>
      <c r="H31" s="32"/>
      <c r="I31" s="4"/>
      <c r="J31" s="5"/>
      <c r="K31" s="6"/>
      <c r="L31" s="6"/>
    </row>
    <row r="32" spans="1:12" x14ac:dyDescent="0.45">
      <c r="B32" s="32"/>
      <c r="C32" s="4"/>
      <c r="D32" s="5"/>
      <c r="E32" s="6"/>
      <c r="F32" s="6"/>
      <c r="H32" s="32"/>
      <c r="I32" s="4"/>
      <c r="J32" s="5"/>
      <c r="K32" s="6"/>
      <c r="L32" s="6"/>
    </row>
    <row r="33" spans="2:12" x14ac:dyDescent="0.45">
      <c r="B33" s="32"/>
      <c r="C33" s="4"/>
      <c r="D33" s="5"/>
      <c r="E33" s="6"/>
      <c r="F33" s="6"/>
      <c r="H33" s="32"/>
      <c r="I33" s="4"/>
      <c r="J33" s="5"/>
      <c r="K33" s="6"/>
      <c r="L33" s="6"/>
    </row>
    <row r="34" spans="2:12" x14ac:dyDescent="0.45">
      <c r="B34" s="32"/>
      <c r="C34" s="4"/>
      <c r="D34" s="5"/>
      <c r="E34" s="6"/>
      <c r="F34" s="6"/>
      <c r="H34" s="32"/>
      <c r="I34" s="4"/>
      <c r="J34" s="5"/>
      <c r="K34" s="6"/>
      <c r="L34" s="6"/>
    </row>
    <row r="35" spans="2:12" x14ac:dyDescent="0.45">
      <c r="B35" s="32"/>
      <c r="C35" s="4"/>
      <c r="D35" s="5"/>
      <c r="E35" s="6"/>
      <c r="F35" s="6"/>
      <c r="H35" s="32"/>
      <c r="I35" s="4"/>
      <c r="J35" s="5"/>
      <c r="K35" s="6"/>
      <c r="L35" s="6"/>
    </row>
    <row r="36" spans="2:12" x14ac:dyDescent="0.45">
      <c r="B36" s="32"/>
      <c r="C36" s="4"/>
      <c r="D36" s="5"/>
      <c r="E36" s="6"/>
      <c r="F36" s="6"/>
      <c r="H36" s="32"/>
      <c r="I36" s="4"/>
      <c r="J36" s="5"/>
      <c r="K36" s="6"/>
      <c r="L36" s="6"/>
    </row>
    <row r="37" spans="2:12" x14ac:dyDescent="0.45">
      <c r="B37" s="32"/>
      <c r="C37" s="4" t="s">
        <v>2</v>
      </c>
      <c r="D37" s="8"/>
      <c r="E37" s="6">
        <f>SUBTOTAL(9,Tableau446162645546170212554[Revenues])</f>
        <v>0</v>
      </c>
      <c r="F37" s="6">
        <f>SUBTOTAL(9,Tableau446162645546170212554[Expenses])</f>
        <v>0</v>
      </c>
      <c r="H37" s="32"/>
      <c r="I37" s="4" t="s">
        <v>2</v>
      </c>
      <c r="J37" s="8"/>
      <c r="K37" s="6">
        <f>SUBTOTAL(9,Tableau446162645546170222655[Revenues])</f>
        <v>0</v>
      </c>
      <c r="L37" s="6">
        <f>SUBTOTAL(9,Tableau446162645546170222655[Expenses])</f>
        <v>0</v>
      </c>
    </row>
    <row r="39" spans="2:12" x14ac:dyDescent="0.45">
      <c r="E39" s="16"/>
    </row>
    <row r="40" spans="2:12" ht="18" customHeight="1" x14ac:dyDescent="0.45">
      <c r="B40" s="31"/>
      <c r="C40" s="23"/>
      <c r="D40" s="23"/>
      <c r="E40" s="23"/>
      <c r="F40" s="23"/>
      <c r="H40" s="31"/>
      <c r="I40" s="23"/>
      <c r="J40" s="23"/>
      <c r="K40" s="23"/>
      <c r="L40" s="23"/>
    </row>
    <row r="41" spans="2:12" x14ac:dyDescent="0.45">
      <c r="B41" s="32"/>
      <c r="C41" s="20"/>
      <c r="D41" s="24"/>
      <c r="E41" s="25"/>
      <c r="F41" s="25"/>
      <c r="H41" s="32"/>
      <c r="I41" s="20"/>
      <c r="J41" s="24"/>
      <c r="K41" s="25"/>
      <c r="L41" s="25"/>
    </row>
    <row r="42" spans="2:12" x14ac:dyDescent="0.45">
      <c r="B42" s="32"/>
      <c r="C42" s="20"/>
      <c r="D42" s="24"/>
      <c r="E42" s="22"/>
      <c r="F42" s="22"/>
      <c r="H42" s="32"/>
      <c r="I42" s="20"/>
      <c r="J42" s="24"/>
      <c r="K42" s="22"/>
      <c r="L42" s="22"/>
    </row>
    <row r="43" spans="2:12" x14ac:dyDescent="0.45">
      <c r="B43" s="32"/>
      <c r="C43" s="20"/>
      <c r="D43" s="24"/>
      <c r="E43" s="22"/>
      <c r="F43" s="22"/>
      <c r="H43" s="32"/>
      <c r="I43" s="20"/>
      <c r="J43" s="24"/>
      <c r="K43" s="22"/>
      <c r="L43" s="22"/>
    </row>
    <row r="44" spans="2:12" x14ac:dyDescent="0.45">
      <c r="B44" s="32"/>
      <c r="C44" s="20"/>
      <c r="D44" s="24"/>
      <c r="E44" s="22"/>
      <c r="F44" s="22"/>
      <c r="H44" s="32"/>
      <c r="I44" s="20"/>
      <c r="J44" s="24"/>
      <c r="K44" s="22"/>
      <c r="L44" s="22"/>
    </row>
    <row r="45" spans="2:12" x14ac:dyDescent="0.45">
      <c r="B45" s="32"/>
      <c r="C45" s="20"/>
      <c r="D45" s="24"/>
      <c r="E45" s="22"/>
      <c r="F45" s="22"/>
      <c r="H45" s="32"/>
      <c r="I45" s="20"/>
      <c r="J45" s="24"/>
      <c r="K45" s="22"/>
      <c r="L45" s="22"/>
    </row>
    <row r="46" spans="2:12" x14ac:dyDescent="0.45">
      <c r="B46" s="32"/>
      <c r="C46" s="20"/>
      <c r="D46" s="24"/>
      <c r="E46" s="22"/>
      <c r="F46" s="22"/>
      <c r="H46" s="32"/>
      <c r="I46" s="20"/>
      <c r="J46" s="24"/>
      <c r="K46" s="22"/>
      <c r="L46" s="22"/>
    </row>
    <row r="47" spans="2:12" x14ac:dyDescent="0.45">
      <c r="B47" s="32"/>
      <c r="C47" s="20"/>
      <c r="D47" s="24"/>
      <c r="E47" s="22"/>
      <c r="F47" s="22"/>
      <c r="H47" s="32"/>
      <c r="I47" s="20"/>
      <c r="J47" s="24"/>
      <c r="K47" s="22"/>
      <c r="L47" s="22"/>
    </row>
    <row r="48" spans="2:12" x14ac:dyDescent="0.45">
      <c r="B48" s="32"/>
      <c r="C48" s="20"/>
      <c r="D48" s="24"/>
      <c r="E48" s="22"/>
      <c r="F48" s="22"/>
      <c r="H48" s="32"/>
      <c r="I48" s="20"/>
      <c r="J48" s="24"/>
      <c r="K48" s="22"/>
      <c r="L48" s="22"/>
    </row>
    <row r="49" spans="2:12" x14ac:dyDescent="0.45">
      <c r="B49" s="32"/>
      <c r="C49" s="20"/>
      <c r="D49" s="21"/>
      <c r="E49" s="22"/>
      <c r="F49" s="22"/>
      <c r="H49" s="32"/>
      <c r="I49" s="20"/>
      <c r="J49" s="21"/>
      <c r="K49" s="22"/>
      <c r="L49" s="22"/>
    </row>
    <row r="51" spans="2:12" x14ac:dyDescent="0.45">
      <c r="E51" s="16"/>
      <c r="K51" s="16"/>
    </row>
    <row r="52" spans="2:12" ht="18" customHeight="1" x14ac:dyDescent="0.45">
      <c r="B52" s="31"/>
      <c r="C52" s="23"/>
      <c r="D52" s="23"/>
      <c r="E52" s="23"/>
      <c r="F52" s="23"/>
      <c r="H52" s="31"/>
      <c r="I52" s="23"/>
      <c r="J52" s="23"/>
      <c r="K52" s="23"/>
      <c r="L52" s="23"/>
    </row>
    <row r="53" spans="2:12" x14ac:dyDescent="0.45">
      <c r="B53" s="32"/>
      <c r="C53" s="20"/>
      <c r="D53" s="24"/>
      <c r="E53" s="25"/>
      <c r="F53" s="25"/>
      <c r="H53" s="32"/>
      <c r="I53" s="20"/>
      <c r="J53" s="24"/>
      <c r="K53" s="25"/>
      <c r="L53" s="25"/>
    </row>
    <row r="54" spans="2:12" x14ac:dyDescent="0.45">
      <c r="B54" s="32"/>
      <c r="C54" s="20"/>
      <c r="D54" s="24"/>
      <c r="E54" s="22"/>
      <c r="F54" s="22"/>
      <c r="H54" s="32"/>
      <c r="I54" s="20"/>
      <c r="J54" s="24"/>
      <c r="K54" s="22"/>
      <c r="L54" s="22"/>
    </row>
    <row r="55" spans="2:12" x14ac:dyDescent="0.45">
      <c r="B55" s="32"/>
      <c r="C55" s="20"/>
      <c r="D55" s="24"/>
      <c r="E55" s="22"/>
      <c r="F55" s="22"/>
      <c r="H55" s="32"/>
      <c r="I55" s="20"/>
      <c r="J55" s="24"/>
      <c r="K55" s="22"/>
      <c r="L55" s="22"/>
    </row>
    <row r="56" spans="2:12" x14ac:dyDescent="0.45">
      <c r="B56" s="32"/>
      <c r="C56" s="20"/>
      <c r="D56" s="24"/>
      <c r="E56" s="22"/>
      <c r="F56" s="22"/>
      <c r="H56" s="32"/>
      <c r="I56" s="20"/>
      <c r="J56" s="24"/>
      <c r="K56" s="22"/>
      <c r="L56" s="22"/>
    </row>
    <row r="57" spans="2:12" x14ac:dyDescent="0.45">
      <c r="B57" s="32"/>
      <c r="C57" s="20"/>
      <c r="D57" s="24"/>
      <c r="E57" s="22"/>
      <c r="F57" s="22"/>
      <c r="H57" s="32"/>
      <c r="I57" s="20"/>
      <c r="J57" s="24"/>
      <c r="K57" s="22"/>
      <c r="L57" s="22"/>
    </row>
    <row r="58" spans="2:12" x14ac:dyDescent="0.45">
      <c r="B58" s="32"/>
      <c r="C58" s="20"/>
      <c r="D58" s="24"/>
      <c r="E58" s="22"/>
      <c r="F58" s="22"/>
      <c r="H58" s="32"/>
      <c r="I58" s="20"/>
      <c r="J58" s="24"/>
      <c r="K58" s="22"/>
      <c r="L58" s="22"/>
    </row>
    <row r="59" spans="2:12" x14ac:dyDescent="0.45">
      <c r="B59" s="32"/>
      <c r="C59" s="20"/>
      <c r="D59" s="24"/>
      <c r="E59" s="22"/>
      <c r="F59" s="22"/>
      <c r="H59" s="32"/>
      <c r="I59" s="20"/>
      <c r="J59" s="24"/>
      <c r="K59" s="22"/>
      <c r="L59" s="22"/>
    </row>
    <row r="60" spans="2:12" x14ac:dyDescent="0.45">
      <c r="B60" s="32"/>
      <c r="C60" s="20"/>
      <c r="D60" s="24"/>
      <c r="E60" s="22"/>
      <c r="F60" s="22"/>
      <c r="H60" s="32"/>
      <c r="I60" s="20"/>
      <c r="J60" s="24"/>
      <c r="K60" s="22"/>
      <c r="L60" s="22"/>
    </row>
    <row r="61" spans="2:12" x14ac:dyDescent="0.45">
      <c r="B61" s="32"/>
      <c r="C61" s="20"/>
      <c r="D61" s="21"/>
      <c r="E61" s="22"/>
      <c r="F61" s="22"/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B28:B37"/>
    <mergeCell ref="H16:H25"/>
    <mergeCell ref="B52:B61"/>
  </mergeCells>
  <pageMargins left="0.7" right="0.7" top="0.75" bottom="0.75" header="0.3" footer="0.3"/>
  <pageSetup paperSize="9" orientation="portrait"/>
  <tableParts count="6">
    <tablePart r:id="rId1"/>
    <tablePart r:id="rId2"/>
    <tablePart r:id="rId3"/>
    <tablePart r:id="rId4"/>
    <tablePart r:id="rId5"/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3"/>
  <sheetViews>
    <sheetView zoomScale="66" workbookViewId="0">
      <selection activeCell="C4" sqref="C4:F4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47</v>
      </c>
      <c r="D2" s="32"/>
      <c r="E2" s="32"/>
      <c r="F2" s="32"/>
      <c r="G2" s="1"/>
      <c r="H2" s="2"/>
      <c r="I2" s="19" t="s">
        <v>0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43</v>
      </c>
      <c r="C4" s="3" t="s">
        <v>21</v>
      </c>
      <c r="D4" s="3" t="s">
        <v>1</v>
      </c>
      <c r="E4" s="3" t="s">
        <v>22</v>
      </c>
      <c r="F4" s="3" t="s">
        <v>23</v>
      </c>
      <c r="G4" s="1"/>
      <c r="H4" s="33" t="s">
        <v>41</v>
      </c>
      <c r="I4" s="3" t="s">
        <v>21</v>
      </c>
      <c r="J4" s="3" t="s">
        <v>1</v>
      </c>
      <c r="K4" s="3" t="s">
        <v>22</v>
      </c>
      <c r="L4" s="3" t="s">
        <v>23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x14ac:dyDescent="0.45">
      <c r="A13" s="1"/>
      <c r="B13" s="32"/>
      <c r="C13" s="4" t="s">
        <v>2</v>
      </c>
      <c r="D13" s="8"/>
      <c r="E13" s="6">
        <f>SUBTOTAL(9,Tableau4132342515867224260[Revenues])</f>
        <v>0</v>
      </c>
      <c r="F13" s="6">
        <f>SUBTOTAL(9,Tableau4132342515867224260[Expenses])</f>
        <v>0</v>
      </c>
      <c r="G13" s="1"/>
      <c r="H13" s="32"/>
      <c r="I13" s="4" t="s">
        <v>2</v>
      </c>
      <c r="J13" s="8"/>
      <c r="K13" s="6">
        <f>SUBTOTAL(9,Tableau44616264554617014325065[Revenues])</f>
        <v>0</v>
      </c>
      <c r="L13" s="6">
        <f>SUBTOTAL(9,Tableau44616264554617014325065[Expenses])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3" t="s">
        <v>42</v>
      </c>
      <c r="C16" s="3" t="s">
        <v>21</v>
      </c>
      <c r="D16" s="3" t="s">
        <v>1</v>
      </c>
      <c r="E16" s="3" t="s">
        <v>22</v>
      </c>
      <c r="F16" s="3" t="s">
        <v>23</v>
      </c>
      <c r="G16" s="1"/>
      <c r="H16" s="33" t="s">
        <v>20</v>
      </c>
      <c r="I16" s="3" t="s">
        <v>21</v>
      </c>
      <c r="J16" s="3" t="s">
        <v>1</v>
      </c>
      <c r="K16" s="3" t="s">
        <v>22</v>
      </c>
      <c r="L16" s="3" t="s">
        <v>23</v>
      </c>
    </row>
    <row r="17" spans="1:12" x14ac:dyDescent="0.45">
      <c r="A17" s="1"/>
      <c r="B17" s="32"/>
      <c r="C17" s="4"/>
      <c r="D17" s="5"/>
      <c r="E17" s="7"/>
      <c r="F17" s="7"/>
      <c r="G17" s="1"/>
      <c r="H17" s="32"/>
      <c r="I17" s="4"/>
      <c r="J17" s="5"/>
      <c r="K17" s="7"/>
      <c r="L17" s="7"/>
    </row>
    <row r="18" spans="1:12" x14ac:dyDescent="0.45">
      <c r="A18" s="1"/>
      <c r="B18" s="32"/>
      <c r="C18" s="4"/>
      <c r="D18" s="5"/>
      <c r="E18" s="6"/>
      <c r="F18" s="6"/>
      <c r="G18" s="1"/>
      <c r="H18" s="32"/>
      <c r="I18" s="4"/>
      <c r="J18" s="5"/>
      <c r="K18" s="6"/>
      <c r="L18" s="6"/>
    </row>
    <row r="19" spans="1:12" x14ac:dyDescent="0.45">
      <c r="A19" s="1"/>
      <c r="B19" s="32"/>
      <c r="C19" s="4"/>
      <c r="D19" s="5"/>
      <c r="E19" s="6"/>
      <c r="F19" s="6"/>
      <c r="G19" s="1"/>
      <c r="H19" s="32"/>
      <c r="I19" s="4"/>
      <c r="J19" s="5"/>
      <c r="K19" s="6"/>
      <c r="L19" s="6"/>
    </row>
    <row r="20" spans="1:12" x14ac:dyDescent="0.45">
      <c r="A20" s="1"/>
      <c r="B20" s="32"/>
      <c r="C20" s="4"/>
      <c r="D20" s="5"/>
      <c r="E20" s="6"/>
      <c r="F20" s="6"/>
      <c r="G20" s="1"/>
      <c r="H20" s="32"/>
      <c r="I20" s="4"/>
      <c r="J20" s="5"/>
      <c r="K20" s="6"/>
      <c r="L20" s="6"/>
    </row>
    <row r="21" spans="1:12" x14ac:dyDescent="0.45">
      <c r="A21" s="1"/>
      <c r="B21" s="32"/>
      <c r="C21" s="4"/>
      <c r="D21" s="5"/>
      <c r="E21" s="6"/>
      <c r="F21" s="6"/>
      <c r="G21" s="1"/>
      <c r="H21" s="32"/>
      <c r="I21" s="4"/>
      <c r="J21" s="5"/>
      <c r="K21" s="6"/>
      <c r="L21" s="6"/>
    </row>
    <row r="22" spans="1:12" x14ac:dyDescent="0.45">
      <c r="A22" s="1"/>
      <c r="B22" s="32"/>
      <c r="C22" s="4"/>
      <c r="D22" s="5"/>
      <c r="E22" s="6"/>
      <c r="F22" s="6"/>
      <c r="G22" s="1"/>
      <c r="H22" s="32"/>
      <c r="I22" s="4"/>
      <c r="J22" s="5"/>
      <c r="K22" s="6"/>
      <c r="L22" s="6"/>
    </row>
    <row r="23" spans="1:12" x14ac:dyDescent="0.45">
      <c r="A23" s="1"/>
      <c r="B23" s="32"/>
      <c r="C23" s="4"/>
      <c r="D23" s="5"/>
      <c r="E23" s="6"/>
      <c r="F23" s="6"/>
      <c r="G23" s="1"/>
      <c r="H23" s="32"/>
      <c r="I23" s="4"/>
      <c r="J23" s="5"/>
      <c r="K23" s="6"/>
      <c r="L23" s="6"/>
    </row>
    <row r="24" spans="1:12" x14ac:dyDescent="0.45">
      <c r="A24" s="1"/>
      <c r="B24" s="32"/>
      <c r="C24" s="4"/>
      <c r="D24" s="5"/>
      <c r="E24" s="6"/>
      <c r="F24" s="6"/>
      <c r="G24" s="1"/>
      <c r="H24" s="32"/>
      <c r="I24" s="4"/>
      <c r="J24" s="5"/>
      <c r="K24" s="6"/>
      <c r="L24" s="6"/>
    </row>
    <row r="25" spans="1:12" x14ac:dyDescent="0.45">
      <c r="A25" s="1"/>
      <c r="B25" s="32"/>
      <c r="C25" s="4" t="s">
        <v>2</v>
      </c>
      <c r="D25" s="8"/>
      <c r="E25" s="6">
        <f>SUBTOTAL(9,Tableau446162645546170284361[Revenues])</f>
        <v>0</v>
      </c>
      <c r="F25" s="6">
        <f>SUBTOTAL(9,Tableau446162645546170284361[Expenses])</f>
        <v>0</v>
      </c>
      <c r="G25" s="1"/>
      <c r="H25" s="32"/>
      <c r="I25" s="4" t="s">
        <v>2</v>
      </c>
      <c r="J25" s="8"/>
      <c r="K25" s="6">
        <f>SUBTOTAL(9,Tableau44616264554617020244462[Revenues])</f>
        <v>0</v>
      </c>
      <c r="L25" s="6">
        <f>SUBTOTAL(9,Tableau44616264554617020244462[Expenses])</f>
        <v>0</v>
      </c>
    </row>
    <row r="28" spans="1:12" ht="18" customHeight="1" x14ac:dyDescent="0.45">
      <c r="B28" s="31"/>
      <c r="C28" s="23"/>
      <c r="D28" s="23"/>
      <c r="E28" s="23"/>
      <c r="F28" s="23"/>
      <c r="H28" s="31"/>
      <c r="I28" s="23"/>
      <c r="J28" s="23"/>
      <c r="K28" s="23"/>
      <c r="L28" s="23"/>
    </row>
    <row r="29" spans="1:12" x14ac:dyDescent="0.45">
      <c r="B29" s="32"/>
      <c r="C29" s="20"/>
      <c r="D29" s="24"/>
      <c r="E29" s="25"/>
      <c r="F29" s="25"/>
      <c r="H29" s="32"/>
      <c r="I29" s="20"/>
      <c r="J29" s="24"/>
      <c r="K29" s="25"/>
      <c r="L29" s="25"/>
    </row>
    <row r="30" spans="1:12" x14ac:dyDescent="0.45">
      <c r="B30" s="32"/>
      <c r="C30" s="20"/>
      <c r="D30" s="24"/>
      <c r="E30" s="22"/>
      <c r="F30" s="22"/>
      <c r="H30" s="32"/>
      <c r="I30" s="20"/>
      <c r="J30" s="24"/>
      <c r="K30" s="22"/>
      <c r="L30" s="22"/>
    </row>
    <row r="31" spans="1:12" x14ac:dyDescent="0.45">
      <c r="B31" s="32"/>
      <c r="C31" s="20"/>
      <c r="D31" s="24"/>
      <c r="E31" s="22"/>
      <c r="F31" s="22"/>
      <c r="H31" s="32"/>
      <c r="I31" s="20"/>
      <c r="J31" s="24"/>
      <c r="K31" s="22"/>
      <c r="L31" s="22"/>
    </row>
    <row r="32" spans="1:12" x14ac:dyDescent="0.45">
      <c r="B32" s="32"/>
      <c r="C32" s="20"/>
      <c r="D32" s="24"/>
      <c r="E32" s="22"/>
      <c r="F32" s="22"/>
      <c r="H32" s="32"/>
      <c r="I32" s="20"/>
      <c r="J32" s="24"/>
      <c r="K32" s="22"/>
      <c r="L32" s="22"/>
    </row>
    <row r="33" spans="2:12" x14ac:dyDescent="0.45">
      <c r="B33" s="32"/>
      <c r="C33" s="20"/>
      <c r="D33" s="24"/>
      <c r="E33" s="22"/>
      <c r="F33" s="22"/>
      <c r="H33" s="32"/>
      <c r="I33" s="20"/>
      <c r="J33" s="24"/>
      <c r="K33" s="22"/>
      <c r="L33" s="22"/>
    </row>
    <row r="34" spans="2:12" x14ac:dyDescent="0.45">
      <c r="B34" s="32"/>
      <c r="C34" s="20"/>
      <c r="D34" s="24"/>
      <c r="E34" s="22"/>
      <c r="F34" s="22"/>
      <c r="H34" s="32"/>
      <c r="I34" s="20"/>
      <c r="J34" s="24"/>
      <c r="K34" s="22"/>
      <c r="L34" s="22"/>
    </row>
    <row r="35" spans="2:12" x14ac:dyDescent="0.45">
      <c r="B35" s="32"/>
      <c r="C35" s="20"/>
      <c r="D35" s="24"/>
      <c r="E35" s="22"/>
      <c r="F35" s="22"/>
      <c r="H35" s="32"/>
      <c r="I35" s="20"/>
      <c r="J35" s="24"/>
      <c r="K35" s="22"/>
      <c r="L35" s="22"/>
    </row>
    <row r="36" spans="2:12" x14ac:dyDescent="0.45">
      <c r="B36" s="32"/>
      <c r="C36" s="20"/>
      <c r="D36" s="24"/>
      <c r="E36" s="22"/>
      <c r="F36" s="22"/>
      <c r="H36" s="32"/>
      <c r="I36" s="20"/>
      <c r="J36" s="24"/>
      <c r="K36" s="22"/>
      <c r="L36" s="22"/>
    </row>
    <row r="37" spans="2:12" x14ac:dyDescent="0.45">
      <c r="B37" s="32"/>
      <c r="C37" s="20"/>
      <c r="D37" s="21"/>
      <c r="E37" s="22"/>
      <c r="F37" s="22"/>
      <c r="H37" s="32"/>
      <c r="I37" s="20"/>
      <c r="J37" s="21"/>
      <c r="K37" s="22"/>
      <c r="L37" s="22"/>
    </row>
    <row r="39" spans="2:12" x14ac:dyDescent="0.45">
      <c r="E39" s="16"/>
    </row>
    <row r="40" spans="2:12" ht="18" customHeight="1" x14ac:dyDescent="0.45">
      <c r="B40" s="31"/>
      <c r="C40" s="23"/>
      <c r="D40" s="23"/>
      <c r="E40" s="23"/>
      <c r="F40" s="23"/>
      <c r="H40" s="31"/>
      <c r="I40" s="23"/>
      <c r="J40" s="23"/>
      <c r="K40" s="23"/>
      <c r="L40" s="23"/>
    </row>
    <row r="41" spans="2:12" x14ac:dyDescent="0.45">
      <c r="B41" s="32"/>
      <c r="C41" s="20"/>
      <c r="D41" s="24"/>
      <c r="E41" s="25"/>
      <c r="F41" s="25"/>
      <c r="H41" s="32"/>
      <c r="I41" s="20"/>
      <c r="J41" s="24"/>
      <c r="K41" s="25"/>
      <c r="L41" s="25"/>
    </row>
    <row r="42" spans="2:12" x14ac:dyDescent="0.45">
      <c r="B42" s="32"/>
      <c r="C42" s="20"/>
      <c r="D42" s="24"/>
      <c r="E42" s="22"/>
      <c r="F42" s="22"/>
      <c r="H42" s="32"/>
      <c r="I42" s="20"/>
      <c r="J42" s="24"/>
      <c r="K42" s="22"/>
      <c r="L42" s="22"/>
    </row>
    <row r="43" spans="2:12" x14ac:dyDescent="0.45">
      <c r="B43" s="32"/>
      <c r="C43" s="20"/>
      <c r="D43" s="24"/>
      <c r="E43" s="22"/>
      <c r="F43" s="22"/>
      <c r="H43" s="32"/>
      <c r="I43" s="20"/>
      <c r="J43" s="24"/>
      <c r="K43" s="22"/>
      <c r="L43" s="22"/>
    </row>
    <row r="44" spans="2:12" x14ac:dyDescent="0.45">
      <c r="B44" s="32"/>
      <c r="C44" s="20"/>
      <c r="D44" s="24"/>
      <c r="E44" s="22"/>
      <c r="F44" s="22"/>
      <c r="H44" s="32"/>
      <c r="I44" s="20"/>
      <c r="J44" s="24"/>
      <c r="K44" s="22"/>
      <c r="L44" s="22"/>
    </row>
    <row r="45" spans="2:12" x14ac:dyDescent="0.45">
      <c r="B45" s="32"/>
      <c r="C45" s="20"/>
      <c r="D45" s="24"/>
      <c r="E45" s="22"/>
      <c r="F45" s="22"/>
      <c r="H45" s="32"/>
      <c r="I45" s="20"/>
      <c r="J45" s="24"/>
      <c r="K45" s="22"/>
      <c r="L45" s="22"/>
    </row>
    <row r="46" spans="2:12" x14ac:dyDescent="0.45">
      <c r="B46" s="32"/>
      <c r="C46" s="20"/>
      <c r="D46" s="24"/>
      <c r="E46" s="22"/>
      <c r="F46" s="22"/>
      <c r="H46" s="32"/>
      <c r="I46" s="20"/>
      <c r="J46" s="24"/>
      <c r="K46" s="22"/>
      <c r="L46" s="22"/>
    </row>
    <row r="47" spans="2:12" x14ac:dyDescent="0.45">
      <c r="B47" s="32"/>
      <c r="C47" s="20"/>
      <c r="D47" s="24"/>
      <c r="E47" s="22"/>
      <c r="F47" s="22"/>
      <c r="H47" s="32"/>
      <c r="I47" s="20"/>
      <c r="J47" s="24"/>
      <c r="K47" s="22"/>
      <c r="L47" s="22"/>
    </row>
    <row r="48" spans="2:12" x14ac:dyDescent="0.45">
      <c r="B48" s="32"/>
      <c r="C48" s="20"/>
      <c r="D48" s="24"/>
      <c r="E48" s="22"/>
      <c r="F48" s="22"/>
      <c r="H48" s="32"/>
      <c r="I48" s="20"/>
      <c r="J48" s="24"/>
      <c r="K48" s="22"/>
      <c r="L48" s="22"/>
    </row>
    <row r="49" spans="2:12" x14ac:dyDescent="0.45">
      <c r="B49" s="32"/>
      <c r="C49" s="20"/>
      <c r="D49" s="21"/>
      <c r="E49" s="22"/>
      <c r="F49" s="22"/>
      <c r="H49" s="32"/>
      <c r="I49" s="20"/>
      <c r="J49" s="21"/>
      <c r="K49" s="22"/>
      <c r="L49" s="22"/>
    </row>
    <row r="51" spans="2:12" x14ac:dyDescent="0.45">
      <c r="E51" s="16"/>
      <c r="K51" s="16"/>
    </row>
    <row r="52" spans="2:12" ht="18" customHeight="1" x14ac:dyDescent="0.45">
      <c r="B52" s="31"/>
      <c r="C52" s="23"/>
      <c r="D52" s="23"/>
      <c r="E52" s="23"/>
      <c r="F52" s="23"/>
      <c r="H52" s="31"/>
      <c r="I52" s="23"/>
      <c r="J52" s="23"/>
      <c r="K52" s="23"/>
      <c r="L52" s="23"/>
    </row>
    <row r="53" spans="2:12" x14ac:dyDescent="0.45">
      <c r="B53" s="32"/>
      <c r="C53" s="20"/>
      <c r="D53" s="24"/>
      <c r="E53" s="25"/>
      <c r="F53" s="25"/>
      <c r="H53" s="32"/>
      <c r="I53" s="20"/>
      <c r="J53" s="24"/>
      <c r="K53" s="25"/>
      <c r="L53" s="25"/>
    </row>
    <row r="54" spans="2:12" x14ac:dyDescent="0.45">
      <c r="B54" s="32"/>
      <c r="C54" s="20"/>
      <c r="D54" s="24"/>
      <c r="E54" s="22"/>
      <c r="F54" s="22"/>
      <c r="H54" s="32"/>
      <c r="I54" s="20"/>
      <c r="J54" s="24"/>
      <c r="K54" s="22"/>
      <c r="L54" s="22"/>
    </row>
    <row r="55" spans="2:12" x14ac:dyDescent="0.45">
      <c r="B55" s="32"/>
      <c r="C55" s="20"/>
      <c r="D55" s="24"/>
      <c r="E55" s="22"/>
      <c r="F55" s="22"/>
      <c r="H55" s="32"/>
      <c r="I55" s="20"/>
      <c r="J55" s="24"/>
      <c r="K55" s="22"/>
      <c r="L55" s="22"/>
    </row>
    <row r="56" spans="2:12" x14ac:dyDescent="0.45">
      <c r="B56" s="32"/>
      <c r="C56" s="20"/>
      <c r="D56" s="24"/>
      <c r="E56" s="22"/>
      <c r="F56" s="22"/>
      <c r="H56" s="32"/>
      <c r="I56" s="20"/>
      <c r="J56" s="24"/>
      <c r="K56" s="22"/>
      <c r="L56" s="22"/>
    </row>
    <row r="57" spans="2:12" x14ac:dyDescent="0.45">
      <c r="B57" s="32"/>
      <c r="C57" s="20"/>
      <c r="D57" s="24"/>
      <c r="E57" s="22"/>
      <c r="F57" s="22"/>
      <c r="H57" s="32"/>
      <c r="I57" s="20"/>
      <c r="J57" s="24"/>
      <c r="K57" s="22"/>
      <c r="L57" s="22"/>
    </row>
    <row r="58" spans="2:12" x14ac:dyDescent="0.45">
      <c r="B58" s="32"/>
      <c r="C58" s="20"/>
      <c r="D58" s="24"/>
      <c r="E58" s="22"/>
      <c r="F58" s="22"/>
      <c r="H58" s="32"/>
      <c r="I58" s="20"/>
      <c r="J58" s="24"/>
      <c r="K58" s="22"/>
      <c r="L58" s="22"/>
    </row>
    <row r="59" spans="2:12" x14ac:dyDescent="0.45">
      <c r="B59" s="32"/>
      <c r="C59" s="20"/>
      <c r="D59" s="24"/>
      <c r="E59" s="22"/>
      <c r="F59" s="22"/>
      <c r="H59" s="32"/>
      <c r="I59" s="20"/>
      <c r="J59" s="24"/>
      <c r="K59" s="22"/>
      <c r="L59" s="22"/>
    </row>
    <row r="60" spans="2:12" x14ac:dyDescent="0.45">
      <c r="B60" s="32"/>
      <c r="C60" s="20"/>
      <c r="D60" s="24"/>
      <c r="E60" s="22"/>
      <c r="F60" s="22"/>
      <c r="H60" s="32"/>
      <c r="I60" s="20"/>
      <c r="J60" s="24"/>
      <c r="K60" s="22"/>
      <c r="L60" s="22"/>
    </row>
    <row r="61" spans="2:12" x14ac:dyDescent="0.45">
      <c r="B61" s="32"/>
      <c r="C61" s="20"/>
      <c r="D61" s="21"/>
      <c r="E61" s="22"/>
      <c r="F61" s="22"/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B28:B37"/>
    <mergeCell ref="H16:H25"/>
    <mergeCell ref="B52:B61"/>
  </mergeCells>
  <pageMargins left="0.7" right="0.7" top="0.75" bottom="0.75" header="0.3" footer="0.3"/>
  <pageSetup paperSize="9" orientation="portrait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3"/>
  <sheetViews>
    <sheetView zoomScale="66" workbookViewId="0">
      <selection activeCell="C2" sqref="C2:F2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49</v>
      </c>
      <c r="D2" s="32"/>
      <c r="E2" s="32"/>
      <c r="F2" s="32"/>
      <c r="G2" s="1"/>
      <c r="H2" s="2"/>
      <c r="I2" s="19" t="s">
        <v>0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48</v>
      </c>
      <c r="C4" s="3" t="s">
        <v>21</v>
      </c>
      <c r="D4" s="3" t="s">
        <v>1</v>
      </c>
      <c r="E4" s="3" t="s">
        <v>22</v>
      </c>
      <c r="F4" s="3" t="s">
        <v>23</v>
      </c>
      <c r="G4" s="1"/>
      <c r="H4" s="33" t="s">
        <v>20</v>
      </c>
      <c r="I4" s="3" t="s">
        <v>21</v>
      </c>
      <c r="J4" s="3" t="s">
        <v>1</v>
      </c>
      <c r="K4" s="3" t="s">
        <v>22</v>
      </c>
      <c r="L4" s="3" t="s">
        <v>23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x14ac:dyDescent="0.45">
      <c r="A13" s="1"/>
      <c r="B13" s="32"/>
      <c r="C13" s="4" t="s">
        <v>2</v>
      </c>
      <c r="D13" s="8"/>
      <c r="E13" s="6">
        <f>SUBTOTAL(9,Tableau4132342515867224266[Revenues])</f>
        <v>0</v>
      </c>
      <c r="F13" s="6">
        <f>SUBTOTAL(9,Tableau4132342515867224266[Expenses])</f>
        <v>0</v>
      </c>
      <c r="G13" s="1"/>
      <c r="H13" s="32"/>
      <c r="I13" s="4" t="s">
        <v>2</v>
      </c>
      <c r="J13" s="8"/>
      <c r="K13" s="6">
        <f>SUBTOTAL(9,Tableau44616264554617014325071[Revenues])</f>
        <v>0</v>
      </c>
      <c r="L13" s="6">
        <f>SUBTOTAL(9,Tableau44616264554617014325071[Expenses])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1"/>
      <c r="C16" s="23"/>
      <c r="D16" s="23"/>
      <c r="E16" s="23"/>
      <c r="F16" s="23"/>
      <c r="G16" s="29"/>
      <c r="H16" s="31"/>
      <c r="I16" s="23"/>
      <c r="J16" s="23"/>
      <c r="K16" s="23"/>
      <c r="L16" s="23"/>
    </row>
    <row r="17" spans="1:12" x14ac:dyDescent="0.45">
      <c r="A17" s="1"/>
      <c r="B17" s="32"/>
      <c r="C17" s="20"/>
      <c r="D17" s="24"/>
      <c r="E17" s="25"/>
      <c r="F17" s="25"/>
      <c r="G17" s="29"/>
      <c r="H17" s="32"/>
      <c r="I17" s="20"/>
      <c r="J17" s="24"/>
      <c r="K17" s="25"/>
      <c r="L17" s="25"/>
    </row>
    <row r="18" spans="1:12" x14ac:dyDescent="0.45">
      <c r="A18" s="1"/>
      <c r="B18" s="32"/>
      <c r="C18" s="20"/>
      <c r="D18" s="24"/>
      <c r="E18" s="22"/>
      <c r="F18" s="22"/>
      <c r="G18" s="29"/>
      <c r="H18" s="32"/>
      <c r="I18" s="20"/>
      <c r="J18" s="24"/>
      <c r="K18" s="22"/>
      <c r="L18" s="22"/>
    </row>
    <row r="19" spans="1:12" x14ac:dyDescent="0.45">
      <c r="A19" s="1"/>
      <c r="B19" s="32"/>
      <c r="C19" s="20"/>
      <c r="D19" s="24"/>
      <c r="E19" s="22"/>
      <c r="F19" s="22"/>
      <c r="G19" s="29"/>
      <c r="H19" s="32"/>
      <c r="I19" s="20"/>
      <c r="J19" s="24"/>
      <c r="K19" s="22"/>
      <c r="L19" s="22"/>
    </row>
    <row r="20" spans="1:12" x14ac:dyDescent="0.45">
      <c r="A20" s="1"/>
      <c r="B20" s="32"/>
      <c r="C20" s="20"/>
      <c r="D20" s="24"/>
      <c r="E20" s="22"/>
      <c r="F20" s="22"/>
      <c r="G20" s="29"/>
      <c r="H20" s="32"/>
      <c r="I20" s="20"/>
      <c r="J20" s="24"/>
      <c r="K20" s="22"/>
      <c r="L20" s="22"/>
    </row>
    <row r="21" spans="1:12" x14ac:dyDescent="0.45">
      <c r="A21" s="1"/>
      <c r="B21" s="32"/>
      <c r="C21" s="20"/>
      <c r="D21" s="24"/>
      <c r="E21" s="22"/>
      <c r="F21" s="22"/>
      <c r="G21" s="29"/>
      <c r="H21" s="32"/>
      <c r="I21" s="20"/>
      <c r="J21" s="24"/>
      <c r="K21" s="22"/>
      <c r="L21" s="22"/>
    </row>
    <row r="22" spans="1:12" x14ac:dyDescent="0.45">
      <c r="A22" s="1"/>
      <c r="B22" s="32"/>
      <c r="C22" s="20"/>
      <c r="D22" s="24"/>
      <c r="E22" s="22"/>
      <c r="F22" s="22"/>
      <c r="G22" s="29"/>
      <c r="H22" s="32"/>
      <c r="I22" s="20"/>
      <c r="J22" s="24"/>
      <c r="K22" s="22"/>
      <c r="L22" s="22"/>
    </row>
    <row r="23" spans="1:12" x14ac:dyDescent="0.45">
      <c r="A23" s="1"/>
      <c r="B23" s="32"/>
      <c r="C23" s="20"/>
      <c r="D23" s="24"/>
      <c r="E23" s="22"/>
      <c r="F23" s="22"/>
      <c r="G23" s="29"/>
      <c r="H23" s="32"/>
      <c r="I23" s="20"/>
      <c r="J23" s="24"/>
      <c r="K23" s="22"/>
      <c r="L23" s="22"/>
    </row>
    <row r="24" spans="1:12" x14ac:dyDescent="0.45">
      <c r="A24" s="1"/>
      <c r="B24" s="32"/>
      <c r="C24" s="20"/>
      <c r="D24" s="24"/>
      <c r="E24" s="22"/>
      <c r="F24" s="22"/>
      <c r="G24" s="29"/>
      <c r="H24" s="32"/>
      <c r="I24" s="20"/>
      <c r="J24" s="24"/>
      <c r="K24" s="22"/>
      <c r="L24" s="22"/>
    </row>
    <row r="25" spans="1:12" x14ac:dyDescent="0.45">
      <c r="A25" s="1"/>
      <c r="B25" s="32"/>
      <c r="C25" s="20"/>
      <c r="D25" s="21"/>
      <c r="E25" s="22"/>
      <c r="F25" s="22"/>
      <c r="G25" s="29"/>
      <c r="H25" s="32"/>
      <c r="I25" s="20"/>
      <c r="J25" s="21"/>
      <c r="K25" s="22"/>
      <c r="L25" s="22"/>
    </row>
    <row r="28" spans="1:12" ht="18" customHeight="1" x14ac:dyDescent="0.45">
      <c r="B28" s="31"/>
      <c r="C28" s="23"/>
      <c r="D28" s="23"/>
      <c r="E28" s="23"/>
      <c r="F28" s="23"/>
      <c r="H28" s="31"/>
      <c r="I28" s="23"/>
      <c r="J28" s="23"/>
      <c r="K28" s="23"/>
      <c r="L28" s="23"/>
    </row>
    <row r="29" spans="1:12" x14ac:dyDescent="0.45">
      <c r="B29" s="32"/>
      <c r="C29" s="20"/>
      <c r="D29" s="24"/>
      <c r="E29" s="25"/>
      <c r="F29" s="25"/>
      <c r="H29" s="32"/>
      <c r="I29" s="20"/>
      <c r="J29" s="24"/>
      <c r="K29" s="25"/>
      <c r="L29" s="25"/>
    </row>
    <row r="30" spans="1:12" x14ac:dyDescent="0.45">
      <c r="B30" s="32"/>
      <c r="C30" s="20"/>
      <c r="D30" s="24"/>
      <c r="E30" s="22"/>
      <c r="F30" s="22"/>
      <c r="H30" s="32"/>
      <c r="I30" s="20"/>
      <c r="J30" s="24"/>
      <c r="K30" s="22"/>
      <c r="L30" s="22"/>
    </row>
    <row r="31" spans="1:12" x14ac:dyDescent="0.45">
      <c r="B31" s="32"/>
      <c r="C31" s="20"/>
      <c r="D31" s="24"/>
      <c r="E31" s="22"/>
      <c r="F31" s="22"/>
      <c r="H31" s="32"/>
      <c r="I31" s="20"/>
      <c r="J31" s="24"/>
      <c r="K31" s="22"/>
      <c r="L31" s="22"/>
    </row>
    <row r="32" spans="1:12" x14ac:dyDescent="0.45">
      <c r="B32" s="32"/>
      <c r="C32" s="20"/>
      <c r="D32" s="24"/>
      <c r="E32" s="22"/>
      <c r="F32" s="22"/>
      <c r="H32" s="32"/>
      <c r="I32" s="20"/>
      <c r="J32" s="24"/>
      <c r="K32" s="22"/>
      <c r="L32" s="22"/>
    </row>
    <row r="33" spans="2:12" x14ac:dyDescent="0.45">
      <c r="B33" s="32"/>
      <c r="C33" s="20"/>
      <c r="D33" s="24"/>
      <c r="E33" s="22"/>
      <c r="F33" s="22"/>
      <c r="H33" s="32"/>
      <c r="I33" s="20"/>
      <c r="J33" s="24"/>
      <c r="K33" s="22"/>
      <c r="L33" s="22"/>
    </row>
    <row r="34" spans="2:12" x14ac:dyDescent="0.45">
      <c r="B34" s="32"/>
      <c r="C34" s="20"/>
      <c r="D34" s="24"/>
      <c r="E34" s="22"/>
      <c r="F34" s="22"/>
      <c r="H34" s="32"/>
      <c r="I34" s="20"/>
      <c r="J34" s="24"/>
      <c r="K34" s="22"/>
      <c r="L34" s="22"/>
    </row>
    <row r="35" spans="2:12" x14ac:dyDescent="0.45">
      <c r="B35" s="32"/>
      <c r="C35" s="20"/>
      <c r="D35" s="24"/>
      <c r="E35" s="22"/>
      <c r="F35" s="22"/>
      <c r="H35" s="32"/>
      <c r="I35" s="20"/>
      <c r="J35" s="24"/>
      <c r="K35" s="22"/>
      <c r="L35" s="22"/>
    </row>
    <row r="36" spans="2:12" x14ac:dyDescent="0.45">
      <c r="B36" s="32"/>
      <c r="C36" s="20"/>
      <c r="D36" s="24"/>
      <c r="E36" s="22"/>
      <c r="F36" s="22"/>
      <c r="H36" s="32"/>
      <c r="I36" s="20"/>
      <c r="J36" s="24"/>
      <c r="K36" s="22"/>
      <c r="L36" s="22"/>
    </row>
    <row r="37" spans="2:12" x14ac:dyDescent="0.45">
      <c r="B37" s="32"/>
      <c r="C37" s="20"/>
      <c r="D37" s="21"/>
      <c r="E37" s="22"/>
      <c r="F37" s="22"/>
      <c r="H37" s="32"/>
      <c r="I37" s="20"/>
      <c r="J37" s="21"/>
      <c r="K37" s="22"/>
      <c r="L37" s="22"/>
    </row>
    <row r="39" spans="2:12" x14ac:dyDescent="0.45">
      <c r="E39" s="16"/>
    </row>
    <row r="40" spans="2:12" ht="18" customHeight="1" x14ac:dyDescent="0.45">
      <c r="B40" s="31"/>
      <c r="C40" s="23"/>
      <c r="D40" s="23"/>
      <c r="E40" s="23"/>
      <c r="F40" s="23"/>
      <c r="H40" s="31"/>
      <c r="I40" s="23"/>
      <c r="J40" s="23"/>
      <c r="K40" s="23"/>
      <c r="L40" s="23"/>
    </row>
    <row r="41" spans="2:12" x14ac:dyDescent="0.45">
      <c r="B41" s="32"/>
      <c r="C41" s="20"/>
      <c r="D41" s="24"/>
      <c r="E41" s="25"/>
      <c r="F41" s="25"/>
      <c r="H41" s="32"/>
      <c r="I41" s="20"/>
      <c r="J41" s="24"/>
      <c r="K41" s="25"/>
      <c r="L41" s="25"/>
    </row>
    <row r="42" spans="2:12" x14ac:dyDescent="0.45">
      <c r="B42" s="32"/>
      <c r="C42" s="20"/>
      <c r="D42" s="24"/>
      <c r="E42" s="22"/>
      <c r="F42" s="22"/>
      <c r="H42" s="32"/>
      <c r="I42" s="20"/>
      <c r="J42" s="24"/>
      <c r="K42" s="22"/>
      <c r="L42" s="22"/>
    </row>
    <row r="43" spans="2:12" x14ac:dyDescent="0.45">
      <c r="B43" s="32"/>
      <c r="C43" s="20"/>
      <c r="D43" s="24"/>
      <c r="E43" s="22"/>
      <c r="F43" s="22"/>
      <c r="H43" s="32"/>
      <c r="I43" s="20"/>
      <c r="J43" s="24"/>
      <c r="K43" s="22"/>
      <c r="L43" s="22"/>
    </row>
    <row r="44" spans="2:12" x14ac:dyDescent="0.45">
      <c r="B44" s="32"/>
      <c r="C44" s="20"/>
      <c r="D44" s="24"/>
      <c r="E44" s="22"/>
      <c r="F44" s="22"/>
      <c r="H44" s="32"/>
      <c r="I44" s="20"/>
      <c r="J44" s="24"/>
      <c r="K44" s="22"/>
      <c r="L44" s="22"/>
    </row>
    <row r="45" spans="2:12" x14ac:dyDescent="0.45">
      <c r="B45" s="32"/>
      <c r="C45" s="20"/>
      <c r="D45" s="24"/>
      <c r="E45" s="22"/>
      <c r="F45" s="22"/>
      <c r="H45" s="32"/>
      <c r="I45" s="20"/>
      <c r="J45" s="24"/>
      <c r="K45" s="22"/>
      <c r="L45" s="22"/>
    </row>
    <row r="46" spans="2:12" x14ac:dyDescent="0.45">
      <c r="B46" s="32"/>
      <c r="C46" s="20"/>
      <c r="D46" s="24"/>
      <c r="E46" s="22"/>
      <c r="F46" s="22"/>
      <c r="H46" s="32"/>
      <c r="I46" s="20"/>
      <c r="J46" s="24"/>
      <c r="K46" s="22"/>
      <c r="L46" s="22"/>
    </row>
    <row r="47" spans="2:12" x14ac:dyDescent="0.45">
      <c r="B47" s="32"/>
      <c r="C47" s="20"/>
      <c r="D47" s="24"/>
      <c r="E47" s="22"/>
      <c r="F47" s="22"/>
      <c r="H47" s="32"/>
      <c r="I47" s="20"/>
      <c r="J47" s="24"/>
      <c r="K47" s="22"/>
      <c r="L47" s="22"/>
    </row>
    <row r="48" spans="2:12" x14ac:dyDescent="0.45">
      <c r="B48" s="32"/>
      <c r="C48" s="20"/>
      <c r="D48" s="24"/>
      <c r="E48" s="22"/>
      <c r="F48" s="22"/>
      <c r="H48" s="32"/>
      <c r="I48" s="20"/>
      <c r="J48" s="24"/>
      <c r="K48" s="22"/>
      <c r="L48" s="22"/>
    </row>
    <row r="49" spans="2:12" x14ac:dyDescent="0.45">
      <c r="B49" s="32"/>
      <c r="C49" s="20"/>
      <c r="D49" s="21"/>
      <c r="E49" s="22"/>
      <c r="F49" s="22"/>
      <c r="H49" s="32"/>
      <c r="I49" s="20"/>
      <c r="J49" s="21"/>
      <c r="K49" s="22"/>
      <c r="L49" s="22"/>
    </row>
    <row r="51" spans="2:12" x14ac:dyDescent="0.45">
      <c r="E51" s="16"/>
      <c r="K51" s="16"/>
    </row>
    <row r="52" spans="2:12" ht="18" customHeight="1" x14ac:dyDescent="0.45">
      <c r="B52" s="31"/>
      <c r="C52" s="23"/>
      <c r="D52" s="23"/>
      <c r="E52" s="23"/>
      <c r="F52" s="23"/>
      <c r="H52" s="31"/>
      <c r="I52" s="23"/>
      <c r="J52" s="23"/>
      <c r="K52" s="23"/>
      <c r="L52" s="23"/>
    </row>
    <row r="53" spans="2:12" x14ac:dyDescent="0.45">
      <c r="B53" s="32"/>
      <c r="C53" s="20"/>
      <c r="D53" s="24"/>
      <c r="E53" s="25"/>
      <c r="F53" s="25"/>
      <c r="H53" s="32"/>
      <c r="I53" s="20"/>
      <c r="J53" s="24"/>
      <c r="K53" s="25"/>
      <c r="L53" s="25"/>
    </row>
    <row r="54" spans="2:12" x14ac:dyDescent="0.45">
      <c r="B54" s="32"/>
      <c r="C54" s="20"/>
      <c r="D54" s="24"/>
      <c r="E54" s="22"/>
      <c r="F54" s="22"/>
      <c r="H54" s="32"/>
      <c r="I54" s="20"/>
      <c r="J54" s="24"/>
      <c r="K54" s="22"/>
      <c r="L54" s="22"/>
    </row>
    <row r="55" spans="2:12" x14ac:dyDescent="0.45">
      <c r="B55" s="32"/>
      <c r="C55" s="20"/>
      <c r="D55" s="24"/>
      <c r="E55" s="22"/>
      <c r="F55" s="22"/>
      <c r="H55" s="32"/>
      <c r="I55" s="20"/>
      <c r="J55" s="24"/>
      <c r="K55" s="22"/>
      <c r="L55" s="22"/>
    </row>
    <row r="56" spans="2:12" x14ac:dyDescent="0.45">
      <c r="B56" s="32"/>
      <c r="C56" s="20"/>
      <c r="D56" s="24"/>
      <c r="E56" s="22"/>
      <c r="F56" s="22"/>
      <c r="H56" s="32"/>
      <c r="I56" s="20"/>
      <c r="J56" s="24"/>
      <c r="K56" s="22"/>
      <c r="L56" s="22"/>
    </row>
    <row r="57" spans="2:12" x14ac:dyDescent="0.45">
      <c r="B57" s="32"/>
      <c r="C57" s="20"/>
      <c r="D57" s="24"/>
      <c r="E57" s="22"/>
      <c r="F57" s="22"/>
      <c r="H57" s="32"/>
      <c r="I57" s="20"/>
      <c r="J57" s="24"/>
      <c r="K57" s="22"/>
      <c r="L57" s="22"/>
    </row>
    <row r="58" spans="2:12" x14ac:dyDescent="0.45">
      <c r="B58" s="32"/>
      <c r="C58" s="20"/>
      <c r="D58" s="24"/>
      <c r="E58" s="22"/>
      <c r="F58" s="22"/>
      <c r="H58" s="32"/>
      <c r="I58" s="20"/>
      <c r="J58" s="24"/>
      <c r="K58" s="22"/>
      <c r="L58" s="22"/>
    </row>
    <row r="59" spans="2:12" x14ac:dyDescent="0.45">
      <c r="B59" s="32"/>
      <c r="C59" s="20"/>
      <c r="D59" s="24"/>
      <c r="E59" s="22"/>
      <c r="F59" s="22"/>
      <c r="H59" s="32"/>
      <c r="I59" s="20"/>
      <c r="J59" s="24"/>
      <c r="K59" s="22"/>
      <c r="L59" s="22"/>
    </row>
    <row r="60" spans="2:12" x14ac:dyDescent="0.45">
      <c r="B60" s="32"/>
      <c r="C60" s="20"/>
      <c r="D60" s="24"/>
      <c r="E60" s="22"/>
      <c r="F60" s="22"/>
      <c r="H60" s="32"/>
      <c r="I60" s="20"/>
      <c r="J60" s="24"/>
      <c r="K60" s="22"/>
      <c r="L60" s="22"/>
    </row>
    <row r="61" spans="2:12" x14ac:dyDescent="0.45">
      <c r="B61" s="32"/>
      <c r="C61" s="20"/>
      <c r="D61" s="21"/>
      <c r="E61" s="22"/>
      <c r="F61" s="22"/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B28:B37"/>
    <mergeCell ref="H16:H25"/>
    <mergeCell ref="B52:B61"/>
  </mergeCells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73"/>
  <sheetViews>
    <sheetView zoomScale="66" workbookViewId="0">
      <selection activeCell="C3" sqref="C3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54</v>
      </c>
      <c r="D2" s="32"/>
      <c r="E2" s="32"/>
      <c r="F2" s="32"/>
      <c r="G2" s="1"/>
      <c r="H2" s="2"/>
      <c r="I2" s="19" t="s">
        <v>0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44</v>
      </c>
      <c r="C4" s="3" t="s">
        <v>21</v>
      </c>
      <c r="D4" s="3" t="s">
        <v>1</v>
      </c>
      <c r="E4" s="3" t="s">
        <v>22</v>
      </c>
      <c r="F4" s="3" t="s">
        <v>23</v>
      </c>
      <c r="G4" s="1"/>
      <c r="H4" s="33" t="s">
        <v>20</v>
      </c>
      <c r="I4" s="3" t="s">
        <v>21</v>
      </c>
      <c r="J4" s="3" t="s">
        <v>1</v>
      </c>
      <c r="K4" s="3" t="s">
        <v>22</v>
      </c>
      <c r="L4" s="3" t="s">
        <v>23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x14ac:dyDescent="0.45">
      <c r="A13" s="1"/>
      <c r="B13" s="32"/>
      <c r="C13" s="4" t="s">
        <v>2</v>
      </c>
      <c r="D13" s="8"/>
      <c r="E13" s="6">
        <f>SUBTOTAL(9,Tableau41323425158672242607276[Revenues])</f>
        <v>0</v>
      </c>
      <c r="F13" s="6">
        <f>SUBTOTAL(9,Tableau41323425158672242607276[Expenses])</f>
        <v>0</v>
      </c>
      <c r="G13" s="1"/>
      <c r="H13" s="32"/>
      <c r="I13" s="4" t="s">
        <v>2</v>
      </c>
      <c r="J13" s="8"/>
      <c r="K13" s="6">
        <f>SUBTOTAL(9,Tableau446162645546170143250657577[Revenues])</f>
        <v>0</v>
      </c>
      <c r="L13" s="6">
        <f>SUBTOTAL(9,Tableau446162645546170143250657577[Expenses])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1"/>
      <c r="C16" s="23"/>
      <c r="D16" s="23"/>
      <c r="E16" s="23"/>
      <c r="F16" s="23"/>
      <c r="G16" s="29"/>
      <c r="H16" s="31"/>
      <c r="I16" s="23"/>
      <c r="J16" s="23"/>
      <c r="K16" s="23"/>
      <c r="L16" s="23"/>
    </row>
    <row r="17" spans="1:12" x14ac:dyDescent="0.45">
      <c r="A17" s="1"/>
      <c r="B17" s="32"/>
      <c r="C17" s="20"/>
      <c r="D17" s="24"/>
      <c r="E17" s="25"/>
      <c r="F17" s="25"/>
      <c r="G17" s="29"/>
      <c r="H17" s="32"/>
      <c r="I17" s="20"/>
      <c r="J17" s="24"/>
      <c r="K17" s="25"/>
      <c r="L17" s="25"/>
    </row>
    <row r="18" spans="1:12" x14ac:dyDescent="0.45">
      <c r="A18" s="1"/>
      <c r="B18" s="32"/>
      <c r="C18" s="20"/>
      <c r="D18" s="24"/>
      <c r="E18" s="22"/>
      <c r="F18" s="22"/>
      <c r="G18" s="29"/>
      <c r="H18" s="32"/>
      <c r="I18" s="20"/>
      <c r="J18" s="24"/>
      <c r="K18" s="22"/>
      <c r="L18" s="22"/>
    </row>
    <row r="19" spans="1:12" x14ac:dyDescent="0.45">
      <c r="A19" s="1"/>
      <c r="B19" s="32"/>
      <c r="C19" s="20"/>
      <c r="D19" s="24"/>
      <c r="E19" s="22"/>
      <c r="F19" s="22"/>
      <c r="G19" s="29"/>
      <c r="H19" s="32"/>
      <c r="I19" s="20"/>
      <c r="J19" s="24"/>
      <c r="K19" s="22"/>
      <c r="L19" s="22"/>
    </row>
    <row r="20" spans="1:12" x14ac:dyDescent="0.45">
      <c r="A20" s="1"/>
      <c r="B20" s="32"/>
      <c r="C20" s="20"/>
      <c r="D20" s="24"/>
      <c r="E20" s="22"/>
      <c r="F20" s="22"/>
      <c r="G20" s="29"/>
      <c r="H20" s="32"/>
      <c r="I20" s="20"/>
      <c r="J20" s="24"/>
      <c r="K20" s="22"/>
      <c r="L20" s="22"/>
    </row>
    <row r="21" spans="1:12" x14ac:dyDescent="0.45">
      <c r="A21" s="1"/>
      <c r="B21" s="32"/>
      <c r="C21" s="20"/>
      <c r="D21" s="24"/>
      <c r="E21" s="22"/>
      <c r="F21" s="22"/>
      <c r="G21" s="29"/>
      <c r="H21" s="32"/>
      <c r="I21" s="20"/>
      <c r="J21" s="24"/>
      <c r="K21" s="22"/>
      <c r="L21" s="22"/>
    </row>
    <row r="22" spans="1:12" x14ac:dyDescent="0.45">
      <c r="A22" s="1"/>
      <c r="B22" s="32"/>
      <c r="C22" s="20"/>
      <c r="D22" s="24"/>
      <c r="E22" s="22"/>
      <c r="F22" s="22"/>
      <c r="G22" s="29"/>
      <c r="H22" s="32"/>
      <c r="I22" s="20"/>
      <c r="J22" s="24"/>
      <c r="K22" s="22"/>
      <c r="L22" s="22"/>
    </row>
    <row r="23" spans="1:12" x14ac:dyDescent="0.45">
      <c r="A23" s="1"/>
      <c r="B23" s="32"/>
      <c r="C23" s="20"/>
      <c r="D23" s="24"/>
      <c r="E23" s="22"/>
      <c r="F23" s="22"/>
      <c r="G23" s="29"/>
      <c r="H23" s="32"/>
      <c r="I23" s="20"/>
      <c r="J23" s="24"/>
      <c r="K23" s="22"/>
      <c r="L23" s="22"/>
    </row>
    <row r="24" spans="1:12" x14ac:dyDescent="0.45">
      <c r="A24" s="1"/>
      <c r="B24" s="32"/>
      <c r="C24" s="20"/>
      <c r="D24" s="24"/>
      <c r="E24" s="22"/>
      <c r="F24" s="22"/>
      <c r="G24" s="29"/>
      <c r="H24" s="32"/>
      <c r="I24" s="20"/>
      <c r="J24" s="24"/>
      <c r="K24" s="22"/>
      <c r="L24" s="22"/>
    </row>
    <row r="25" spans="1:12" x14ac:dyDescent="0.45">
      <c r="A25" s="1"/>
      <c r="B25" s="32"/>
      <c r="C25" s="20"/>
      <c r="D25" s="21"/>
      <c r="E25" s="22"/>
      <c r="F25" s="22"/>
      <c r="G25" s="29"/>
      <c r="H25" s="32"/>
      <c r="I25" s="20"/>
      <c r="J25" s="21"/>
      <c r="K25" s="22"/>
      <c r="L25" s="22"/>
    </row>
    <row r="28" spans="1:12" ht="18" customHeight="1" x14ac:dyDescent="0.45">
      <c r="B28" s="31"/>
      <c r="C28" s="23"/>
      <c r="D28" s="23"/>
      <c r="E28" s="23"/>
      <c r="F28" s="23"/>
      <c r="H28" s="31"/>
      <c r="I28" s="23"/>
      <c r="J28" s="23"/>
      <c r="K28" s="23"/>
      <c r="L28" s="23"/>
    </row>
    <row r="29" spans="1:12" x14ac:dyDescent="0.45">
      <c r="B29" s="32"/>
      <c r="C29" s="20"/>
      <c r="D29" s="24"/>
      <c r="E29" s="25"/>
      <c r="F29" s="25"/>
      <c r="H29" s="32"/>
      <c r="I29" s="20"/>
      <c r="J29" s="24"/>
      <c r="K29" s="25"/>
      <c r="L29" s="25"/>
    </row>
    <row r="30" spans="1:12" x14ac:dyDescent="0.45">
      <c r="B30" s="32"/>
      <c r="C30" s="20"/>
      <c r="D30" s="24"/>
      <c r="E30" s="22"/>
      <c r="F30" s="22"/>
      <c r="H30" s="32"/>
      <c r="I30" s="20"/>
      <c r="J30" s="24"/>
      <c r="K30" s="22"/>
      <c r="L30" s="22"/>
    </row>
    <row r="31" spans="1:12" x14ac:dyDescent="0.45">
      <c r="B31" s="32"/>
      <c r="C31" s="20"/>
      <c r="D31" s="24"/>
      <c r="E31" s="22"/>
      <c r="F31" s="22"/>
      <c r="H31" s="32"/>
      <c r="I31" s="20"/>
      <c r="J31" s="24"/>
      <c r="K31" s="22"/>
      <c r="L31" s="22"/>
    </row>
    <row r="32" spans="1:12" x14ac:dyDescent="0.45">
      <c r="B32" s="32"/>
      <c r="C32" s="20"/>
      <c r="D32" s="24"/>
      <c r="E32" s="22"/>
      <c r="F32" s="22"/>
      <c r="H32" s="32"/>
      <c r="I32" s="20"/>
      <c r="J32" s="24"/>
      <c r="K32" s="22"/>
      <c r="L32" s="22"/>
    </row>
    <row r="33" spans="2:12" x14ac:dyDescent="0.45">
      <c r="B33" s="32"/>
      <c r="C33" s="20"/>
      <c r="D33" s="24"/>
      <c r="E33" s="22"/>
      <c r="F33" s="22"/>
      <c r="H33" s="32"/>
      <c r="I33" s="20"/>
      <c r="J33" s="24"/>
      <c r="K33" s="22"/>
      <c r="L33" s="22"/>
    </row>
    <row r="34" spans="2:12" x14ac:dyDescent="0.45">
      <c r="B34" s="32"/>
      <c r="C34" s="20"/>
      <c r="D34" s="24"/>
      <c r="E34" s="22"/>
      <c r="F34" s="22"/>
      <c r="H34" s="32"/>
      <c r="I34" s="20"/>
      <c r="J34" s="24"/>
      <c r="K34" s="22"/>
      <c r="L34" s="22"/>
    </row>
    <row r="35" spans="2:12" x14ac:dyDescent="0.45">
      <c r="B35" s="32"/>
      <c r="C35" s="20"/>
      <c r="D35" s="24"/>
      <c r="E35" s="22"/>
      <c r="F35" s="22"/>
      <c r="H35" s="32"/>
      <c r="I35" s="20"/>
      <c r="J35" s="24"/>
      <c r="K35" s="22"/>
      <c r="L35" s="22"/>
    </row>
    <row r="36" spans="2:12" x14ac:dyDescent="0.45">
      <c r="B36" s="32"/>
      <c r="C36" s="20"/>
      <c r="D36" s="24"/>
      <c r="E36" s="22"/>
      <c r="F36" s="22"/>
      <c r="H36" s="32"/>
      <c r="I36" s="20"/>
      <c r="J36" s="24"/>
      <c r="K36" s="22"/>
      <c r="L36" s="22"/>
    </row>
    <row r="37" spans="2:12" x14ac:dyDescent="0.45">
      <c r="B37" s="32"/>
      <c r="C37" s="20"/>
      <c r="D37" s="21"/>
      <c r="E37" s="22"/>
      <c r="F37" s="22"/>
      <c r="H37" s="32"/>
      <c r="I37" s="20"/>
      <c r="J37" s="21"/>
      <c r="K37" s="22"/>
      <c r="L37" s="22"/>
    </row>
    <row r="39" spans="2:12" x14ac:dyDescent="0.45">
      <c r="E39" s="16"/>
    </row>
    <row r="40" spans="2:12" ht="18" customHeight="1" x14ac:dyDescent="0.45">
      <c r="B40" s="31"/>
      <c r="C40" s="23"/>
      <c r="D40" s="23"/>
      <c r="E40" s="23"/>
      <c r="F40" s="23"/>
      <c r="H40" s="31"/>
      <c r="I40" s="23"/>
      <c r="J40" s="23"/>
      <c r="K40" s="23"/>
      <c r="L40" s="23"/>
    </row>
    <row r="41" spans="2:12" x14ac:dyDescent="0.45">
      <c r="B41" s="32"/>
      <c r="C41" s="20"/>
      <c r="D41" s="24"/>
      <c r="E41" s="25"/>
      <c r="F41" s="25"/>
      <c r="H41" s="32"/>
      <c r="I41" s="20"/>
      <c r="J41" s="24"/>
      <c r="K41" s="25"/>
      <c r="L41" s="25"/>
    </row>
    <row r="42" spans="2:12" x14ac:dyDescent="0.45">
      <c r="B42" s="32"/>
      <c r="C42" s="20"/>
      <c r="D42" s="24"/>
      <c r="E42" s="22"/>
      <c r="F42" s="22"/>
      <c r="H42" s="32"/>
      <c r="I42" s="20"/>
      <c r="J42" s="24"/>
      <c r="K42" s="22"/>
      <c r="L42" s="22"/>
    </row>
    <row r="43" spans="2:12" x14ac:dyDescent="0.45">
      <c r="B43" s="32"/>
      <c r="C43" s="20"/>
      <c r="D43" s="24"/>
      <c r="E43" s="22"/>
      <c r="F43" s="22"/>
      <c r="H43" s="32"/>
      <c r="I43" s="20"/>
      <c r="J43" s="24"/>
      <c r="K43" s="22"/>
      <c r="L43" s="22"/>
    </row>
    <row r="44" spans="2:12" x14ac:dyDescent="0.45">
      <c r="B44" s="32"/>
      <c r="C44" s="20"/>
      <c r="D44" s="24"/>
      <c r="E44" s="22"/>
      <c r="F44" s="22"/>
      <c r="H44" s="32"/>
      <c r="I44" s="20"/>
      <c r="J44" s="24"/>
      <c r="K44" s="22"/>
      <c r="L44" s="22"/>
    </row>
    <row r="45" spans="2:12" x14ac:dyDescent="0.45">
      <c r="B45" s="32"/>
      <c r="C45" s="20"/>
      <c r="D45" s="24"/>
      <c r="E45" s="22"/>
      <c r="F45" s="22"/>
      <c r="H45" s="32"/>
      <c r="I45" s="20"/>
      <c r="J45" s="24"/>
      <c r="K45" s="22"/>
      <c r="L45" s="22"/>
    </row>
    <row r="46" spans="2:12" x14ac:dyDescent="0.45">
      <c r="B46" s="32"/>
      <c r="C46" s="20"/>
      <c r="D46" s="24"/>
      <c r="E46" s="22"/>
      <c r="F46" s="22"/>
      <c r="H46" s="32"/>
      <c r="I46" s="20"/>
      <c r="J46" s="24"/>
      <c r="K46" s="22"/>
      <c r="L46" s="22"/>
    </row>
    <row r="47" spans="2:12" x14ac:dyDescent="0.45">
      <c r="B47" s="32"/>
      <c r="C47" s="20"/>
      <c r="D47" s="24"/>
      <c r="E47" s="22"/>
      <c r="F47" s="22"/>
      <c r="H47" s="32"/>
      <c r="I47" s="20"/>
      <c r="J47" s="24"/>
      <c r="K47" s="22"/>
      <c r="L47" s="22"/>
    </row>
    <row r="48" spans="2:12" x14ac:dyDescent="0.45">
      <c r="B48" s="32"/>
      <c r="C48" s="20"/>
      <c r="D48" s="24"/>
      <c r="E48" s="22"/>
      <c r="F48" s="22"/>
      <c r="H48" s="32"/>
      <c r="I48" s="20"/>
      <c r="J48" s="24"/>
      <c r="K48" s="22"/>
      <c r="L48" s="22"/>
    </row>
    <row r="49" spans="2:12" x14ac:dyDescent="0.45">
      <c r="B49" s="32"/>
      <c r="C49" s="20"/>
      <c r="D49" s="21"/>
      <c r="E49" s="22"/>
      <c r="F49" s="22"/>
      <c r="H49" s="32"/>
      <c r="I49" s="20"/>
      <c r="J49" s="21"/>
      <c r="K49" s="22"/>
      <c r="L49" s="22"/>
    </row>
    <row r="51" spans="2:12" x14ac:dyDescent="0.45">
      <c r="E51" s="16"/>
      <c r="K51" s="16"/>
    </row>
    <row r="52" spans="2:12" ht="18" customHeight="1" x14ac:dyDescent="0.45">
      <c r="B52" s="31"/>
      <c r="C52" s="23"/>
      <c r="D52" s="23"/>
      <c r="E52" s="23"/>
      <c r="F52" s="23"/>
      <c r="H52" s="31"/>
      <c r="I52" s="23"/>
      <c r="J52" s="23"/>
      <c r="K52" s="23"/>
      <c r="L52" s="23"/>
    </row>
    <row r="53" spans="2:12" x14ac:dyDescent="0.45">
      <c r="B53" s="32"/>
      <c r="C53" s="20"/>
      <c r="D53" s="24"/>
      <c r="E53" s="25"/>
      <c r="F53" s="25"/>
      <c r="H53" s="32"/>
      <c r="I53" s="20"/>
      <c r="J53" s="24"/>
      <c r="K53" s="25"/>
      <c r="L53" s="25"/>
    </row>
    <row r="54" spans="2:12" x14ac:dyDescent="0.45">
      <c r="B54" s="32"/>
      <c r="C54" s="20"/>
      <c r="D54" s="24"/>
      <c r="E54" s="22"/>
      <c r="F54" s="22"/>
      <c r="H54" s="32"/>
      <c r="I54" s="20"/>
      <c r="J54" s="24"/>
      <c r="K54" s="22"/>
      <c r="L54" s="22"/>
    </row>
    <row r="55" spans="2:12" x14ac:dyDescent="0.45">
      <c r="B55" s="32"/>
      <c r="C55" s="20"/>
      <c r="D55" s="24"/>
      <c r="E55" s="22"/>
      <c r="F55" s="22"/>
      <c r="H55" s="32"/>
      <c r="I55" s="20"/>
      <c r="J55" s="24"/>
      <c r="K55" s="22"/>
      <c r="L55" s="22"/>
    </row>
    <row r="56" spans="2:12" x14ac:dyDescent="0.45">
      <c r="B56" s="32"/>
      <c r="C56" s="20"/>
      <c r="D56" s="24"/>
      <c r="E56" s="22"/>
      <c r="F56" s="22"/>
      <c r="H56" s="32"/>
      <c r="I56" s="20"/>
      <c r="J56" s="24"/>
      <c r="K56" s="22"/>
      <c r="L56" s="22"/>
    </row>
    <row r="57" spans="2:12" x14ac:dyDescent="0.45">
      <c r="B57" s="32"/>
      <c r="C57" s="20"/>
      <c r="D57" s="24"/>
      <c r="E57" s="22"/>
      <c r="F57" s="22"/>
      <c r="H57" s="32"/>
      <c r="I57" s="20"/>
      <c r="J57" s="24"/>
      <c r="K57" s="22"/>
      <c r="L57" s="22"/>
    </row>
    <row r="58" spans="2:12" x14ac:dyDescent="0.45">
      <c r="B58" s="32"/>
      <c r="C58" s="20"/>
      <c r="D58" s="24"/>
      <c r="E58" s="22"/>
      <c r="F58" s="22"/>
      <c r="H58" s="32"/>
      <c r="I58" s="20"/>
      <c r="J58" s="24"/>
      <c r="K58" s="22"/>
      <c r="L58" s="22"/>
    </row>
    <row r="59" spans="2:12" x14ac:dyDescent="0.45">
      <c r="B59" s="32"/>
      <c r="C59" s="20"/>
      <c r="D59" s="24"/>
      <c r="E59" s="22"/>
      <c r="F59" s="22"/>
      <c r="H59" s="32"/>
      <c r="I59" s="20"/>
      <c r="J59" s="24"/>
      <c r="K59" s="22"/>
      <c r="L59" s="22"/>
    </row>
    <row r="60" spans="2:12" x14ac:dyDescent="0.45">
      <c r="B60" s="32"/>
      <c r="C60" s="20"/>
      <c r="D60" s="24"/>
      <c r="E60" s="22"/>
      <c r="F60" s="22"/>
      <c r="H60" s="32"/>
      <c r="I60" s="20"/>
      <c r="J60" s="24"/>
      <c r="K60" s="22"/>
      <c r="L60" s="22"/>
    </row>
    <row r="61" spans="2:12" x14ac:dyDescent="0.45">
      <c r="B61" s="32"/>
      <c r="C61" s="20"/>
      <c r="D61" s="21"/>
      <c r="E61" s="22"/>
      <c r="F61" s="22"/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B28:B37"/>
    <mergeCell ref="H16:H25"/>
    <mergeCell ref="B52:B61"/>
  </mergeCells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3"/>
  <sheetViews>
    <sheetView zoomScale="66" workbookViewId="0">
      <selection activeCell="C2" sqref="C2:F2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53</v>
      </c>
      <c r="D2" s="32"/>
      <c r="E2" s="32"/>
      <c r="F2" s="32"/>
      <c r="G2" s="1"/>
      <c r="H2" s="2"/>
      <c r="I2" s="19" t="s">
        <v>0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52</v>
      </c>
      <c r="C4" s="3" t="s">
        <v>21</v>
      </c>
      <c r="D4" s="3" t="s">
        <v>1</v>
      </c>
      <c r="E4" s="3" t="s">
        <v>22</v>
      </c>
      <c r="F4" s="3" t="s">
        <v>23</v>
      </c>
      <c r="G4" s="1"/>
      <c r="H4" s="33" t="s">
        <v>51</v>
      </c>
      <c r="I4" s="3" t="s">
        <v>21</v>
      </c>
      <c r="J4" s="3" t="s">
        <v>1</v>
      </c>
      <c r="K4" s="3" t="s">
        <v>22</v>
      </c>
      <c r="L4" s="3" t="s">
        <v>23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x14ac:dyDescent="0.45">
      <c r="A13" s="1"/>
      <c r="B13" s="32"/>
      <c r="C13" s="4" t="s">
        <v>2</v>
      </c>
      <c r="D13" s="8"/>
      <c r="E13" s="6">
        <f>SUBTOTAL(9,Tableau413234251586722426078[Revenues])</f>
        <v>0</v>
      </c>
      <c r="F13" s="6">
        <f>SUBTOTAL(9,Tableau413234251586722426078[Expenses])</f>
        <v>0</v>
      </c>
      <c r="G13" s="1"/>
      <c r="H13" s="32"/>
      <c r="I13" s="4" t="s">
        <v>2</v>
      </c>
      <c r="J13" s="8"/>
      <c r="K13" s="6">
        <f>SUBTOTAL(9,Tableau4461626455461701432506581[Revenues])</f>
        <v>0</v>
      </c>
      <c r="L13" s="6">
        <f>SUBTOTAL(9,Tableau4461626455461701432506581[Expenses])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3" t="s">
        <v>50</v>
      </c>
      <c r="C16" s="3" t="s">
        <v>21</v>
      </c>
      <c r="D16" s="3" t="s">
        <v>1</v>
      </c>
      <c r="E16" s="3" t="s">
        <v>22</v>
      </c>
      <c r="F16" s="3" t="s">
        <v>23</v>
      </c>
      <c r="G16" s="1"/>
      <c r="H16" s="33" t="s">
        <v>20</v>
      </c>
      <c r="I16" s="3" t="s">
        <v>21</v>
      </c>
      <c r="J16" s="3" t="s">
        <v>1</v>
      </c>
      <c r="K16" s="3" t="s">
        <v>22</v>
      </c>
      <c r="L16" s="3" t="s">
        <v>23</v>
      </c>
    </row>
    <row r="17" spans="1:12" x14ac:dyDescent="0.45">
      <c r="A17" s="1"/>
      <c r="B17" s="32"/>
      <c r="C17" s="4"/>
      <c r="D17" s="5"/>
      <c r="E17" s="7"/>
      <c r="F17" s="7"/>
      <c r="G17" s="1"/>
      <c r="H17" s="32"/>
      <c r="I17" s="4"/>
      <c r="J17" s="5"/>
      <c r="K17" s="7"/>
      <c r="L17" s="7"/>
    </row>
    <row r="18" spans="1:12" x14ac:dyDescent="0.45">
      <c r="A18" s="1"/>
      <c r="B18" s="32"/>
      <c r="C18" s="4"/>
      <c r="D18" s="5"/>
      <c r="E18" s="6"/>
      <c r="F18" s="6"/>
      <c r="G18" s="1"/>
      <c r="H18" s="32"/>
      <c r="I18" s="4"/>
      <c r="J18" s="5"/>
      <c r="K18" s="6"/>
      <c r="L18" s="6"/>
    </row>
    <row r="19" spans="1:12" x14ac:dyDescent="0.45">
      <c r="A19" s="1"/>
      <c r="B19" s="32"/>
      <c r="C19" s="4"/>
      <c r="D19" s="5"/>
      <c r="E19" s="6"/>
      <c r="F19" s="6"/>
      <c r="G19" s="1"/>
      <c r="H19" s="32"/>
      <c r="I19" s="4"/>
      <c r="J19" s="5"/>
      <c r="K19" s="6"/>
      <c r="L19" s="6"/>
    </row>
    <row r="20" spans="1:12" x14ac:dyDescent="0.45">
      <c r="A20" s="1"/>
      <c r="B20" s="32"/>
      <c r="C20" s="4"/>
      <c r="D20" s="5"/>
      <c r="E20" s="6"/>
      <c r="F20" s="6"/>
      <c r="G20" s="1"/>
      <c r="H20" s="32"/>
      <c r="I20" s="4"/>
      <c r="J20" s="5"/>
      <c r="K20" s="6"/>
      <c r="L20" s="6"/>
    </row>
    <row r="21" spans="1:12" x14ac:dyDescent="0.45">
      <c r="A21" s="1"/>
      <c r="B21" s="32"/>
      <c r="C21" s="4"/>
      <c r="D21" s="5"/>
      <c r="E21" s="6"/>
      <c r="F21" s="6"/>
      <c r="G21" s="1"/>
      <c r="H21" s="32"/>
      <c r="I21" s="4"/>
      <c r="J21" s="5"/>
      <c r="K21" s="6"/>
      <c r="L21" s="6"/>
    </row>
    <row r="22" spans="1:12" x14ac:dyDescent="0.45">
      <c r="A22" s="1"/>
      <c r="B22" s="32"/>
      <c r="C22" s="4"/>
      <c r="D22" s="5"/>
      <c r="E22" s="6"/>
      <c r="F22" s="6"/>
      <c r="G22" s="1"/>
      <c r="H22" s="32"/>
      <c r="I22" s="4"/>
      <c r="J22" s="5"/>
      <c r="K22" s="6"/>
      <c r="L22" s="6"/>
    </row>
    <row r="23" spans="1:12" x14ac:dyDescent="0.45">
      <c r="A23" s="1"/>
      <c r="B23" s="32"/>
      <c r="C23" s="4"/>
      <c r="D23" s="5"/>
      <c r="E23" s="6"/>
      <c r="F23" s="6"/>
      <c r="G23" s="1"/>
      <c r="H23" s="32"/>
      <c r="I23" s="4"/>
      <c r="J23" s="5"/>
      <c r="K23" s="6"/>
      <c r="L23" s="6"/>
    </row>
    <row r="24" spans="1:12" x14ac:dyDescent="0.45">
      <c r="A24" s="1"/>
      <c r="B24" s="32"/>
      <c r="C24" s="4"/>
      <c r="D24" s="5"/>
      <c r="E24" s="6"/>
      <c r="F24" s="6"/>
      <c r="G24" s="1"/>
      <c r="H24" s="32"/>
      <c r="I24" s="4"/>
      <c r="J24" s="5"/>
      <c r="K24" s="6"/>
      <c r="L24" s="6"/>
    </row>
    <row r="25" spans="1:12" x14ac:dyDescent="0.45">
      <c r="A25" s="1"/>
      <c r="B25" s="32"/>
      <c r="C25" s="4" t="s">
        <v>2</v>
      </c>
      <c r="D25" s="8"/>
      <c r="E25" s="6">
        <f>SUBTOTAL(9,Tableau44616264554617028436179[Revenues])</f>
        <v>0</v>
      </c>
      <c r="F25" s="6">
        <f>SUBTOTAL(9,Tableau44616264554617028436179[Expenses])</f>
        <v>0</v>
      </c>
      <c r="G25" s="1"/>
      <c r="H25" s="32"/>
      <c r="I25" s="4" t="s">
        <v>2</v>
      </c>
      <c r="J25" s="8"/>
      <c r="K25" s="6">
        <f>SUBTOTAL(9,Tableau4461626455461702024446280[Revenues])</f>
        <v>0</v>
      </c>
      <c r="L25" s="6">
        <f>SUBTOTAL(9,Tableau4461626455461702024446280[Expenses])</f>
        <v>0</v>
      </c>
    </row>
    <row r="28" spans="1:12" ht="18" customHeight="1" x14ac:dyDescent="0.45">
      <c r="B28" s="31"/>
      <c r="C28" s="23"/>
      <c r="D28" s="23"/>
      <c r="E28" s="23"/>
      <c r="F28" s="23"/>
      <c r="H28" s="31"/>
      <c r="I28" s="23"/>
      <c r="J28" s="23"/>
      <c r="K28" s="23"/>
      <c r="L28" s="23"/>
    </row>
    <row r="29" spans="1:12" x14ac:dyDescent="0.45">
      <c r="B29" s="32"/>
      <c r="C29" s="20"/>
      <c r="D29" s="24"/>
      <c r="E29" s="25"/>
      <c r="F29" s="25"/>
      <c r="H29" s="32"/>
      <c r="I29" s="20"/>
      <c r="J29" s="24"/>
      <c r="K29" s="25"/>
      <c r="L29" s="25"/>
    </row>
    <row r="30" spans="1:12" x14ac:dyDescent="0.45">
      <c r="B30" s="32"/>
      <c r="C30" s="20"/>
      <c r="D30" s="24"/>
      <c r="E30" s="22"/>
      <c r="F30" s="22"/>
      <c r="H30" s="32"/>
      <c r="I30" s="20"/>
      <c r="J30" s="24"/>
      <c r="K30" s="22"/>
      <c r="L30" s="22"/>
    </row>
    <row r="31" spans="1:12" x14ac:dyDescent="0.45">
      <c r="B31" s="32"/>
      <c r="C31" s="20"/>
      <c r="D31" s="24"/>
      <c r="E31" s="22"/>
      <c r="F31" s="22"/>
      <c r="H31" s="32"/>
      <c r="I31" s="20"/>
      <c r="J31" s="24"/>
      <c r="K31" s="22"/>
      <c r="L31" s="22"/>
    </row>
    <row r="32" spans="1:12" x14ac:dyDescent="0.45">
      <c r="B32" s="32"/>
      <c r="C32" s="20"/>
      <c r="D32" s="24"/>
      <c r="E32" s="22"/>
      <c r="F32" s="22"/>
      <c r="H32" s="32"/>
      <c r="I32" s="20"/>
      <c r="J32" s="24"/>
      <c r="K32" s="22"/>
      <c r="L32" s="22"/>
    </row>
    <row r="33" spans="2:12" x14ac:dyDescent="0.45">
      <c r="B33" s="32"/>
      <c r="C33" s="20"/>
      <c r="D33" s="24"/>
      <c r="E33" s="22"/>
      <c r="F33" s="22"/>
      <c r="H33" s="32"/>
      <c r="I33" s="20"/>
      <c r="J33" s="24"/>
      <c r="K33" s="22"/>
      <c r="L33" s="22"/>
    </row>
    <row r="34" spans="2:12" x14ac:dyDescent="0.45">
      <c r="B34" s="32"/>
      <c r="C34" s="20"/>
      <c r="D34" s="24"/>
      <c r="E34" s="22"/>
      <c r="F34" s="22"/>
      <c r="H34" s="32"/>
      <c r="I34" s="20"/>
      <c r="J34" s="24"/>
      <c r="K34" s="22"/>
      <c r="L34" s="22"/>
    </row>
    <row r="35" spans="2:12" x14ac:dyDescent="0.45">
      <c r="B35" s="32"/>
      <c r="C35" s="20"/>
      <c r="D35" s="24"/>
      <c r="E35" s="22"/>
      <c r="F35" s="22"/>
      <c r="H35" s="32"/>
      <c r="I35" s="20"/>
      <c r="J35" s="24"/>
      <c r="K35" s="22"/>
      <c r="L35" s="22"/>
    </row>
    <row r="36" spans="2:12" x14ac:dyDescent="0.45">
      <c r="B36" s="32"/>
      <c r="C36" s="20"/>
      <c r="D36" s="24"/>
      <c r="E36" s="22"/>
      <c r="F36" s="22"/>
      <c r="H36" s="32"/>
      <c r="I36" s="20"/>
      <c r="J36" s="24"/>
      <c r="K36" s="22"/>
      <c r="L36" s="22"/>
    </row>
    <row r="37" spans="2:12" x14ac:dyDescent="0.45">
      <c r="B37" s="32"/>
      <c r="C37" s="20"/>
      <c r="D37" s="21"/>
      <c r="E37" s="22"/>
      <c r="F37" s="22"/>
      <c r="H37" s="32"/>
      <c r="I37" s="20"/>
      <c r="J37" s="21"/>
      <c r="K37" s="22"/>
      <c r="L37" s="22"/>
    </row>
    <row r="39" spans="2:12" x14ac:dyDescent="0.45">
      <c r="E39" s="16"/>
    </row>
    <row r="40" spans="2:12" ht="18" customHeight="1" x14ac:dyDescent="0.45">
      <c r="B40" s="31"/>
      <c r="C40" s="23"/>
      <c r="D40" s="23"/>
      <c r="E40" s="23"/>
      <c r="F40" s="23"/>
      <c r="H40" s="31"/>
      <c r="I40" s="23"/>
      <c r="J40" s="23"/>
      <c r="K40" s="23"/>
      <c r="L40" s="23"/>
    </row>
    <row r="41" spans="2:12" x14ac:dyDescent="0.45">
      <c r="B41" s="32"/>
      <c r="C41" s="20"/>
      <c r="D41" s="24"/>
      <c r="E41" s="25"/>
      <c r="F41" s="25"/>
      <c r="H41" s="32"/>
      <c r="I41" s="20"/>
      <c r="J41" s="24"/>
      <c r="K41" s="25"/>
      <c r="L41" s="25"/>
    </row>
    <row r="42" spans="2:12" x14ac:dyDescent="0.45">
      <c r="B42" s="32"/>
      <c r="C42" s="20"/>
      <c r="D42" s="24"/>
      <c r="E42" s="22"/>
      <c r="F42" s="22"/>
      <c r="H42" s="32"/>
      <c r="I42" s="20"/>
      <c r="J42" s="24"/>
      <c r="K42" s="22"/>
      <c r="L42" s="22"/>
    </row>
    <row r="43" spans="2:12" x14ac:dyDescent="0.45">
      <c r="B43" s="32"/>
      <c r="C43" s="20"/>
      <c r="D43" s="24"/>
      <c r="E43" s="22"/>
      <c r="F43" s="22"/>
      <c r="H43" s="32"/>
      <c r="I43" s="20"/>
      <c r="J43" s="24"/>
      <c r="K43" s="22"/>
      <c r="L43" s="22"/>
    </row>
    <row r="44" spans="2:12" x14ac:dyDescent="0.45">
      <c r="B44" s="32"/>
      <c r="C44" s="20"/>
      <c r="D44" s="24"/>
      <c r="E44" s="22"/>
      <c r="F44" s="22"/>
      <c r="H44" s="32"/>
      <c r="I44" s="20"/>
      <c r="J44" s="24"/>
      <c r="K44" s="22"/>
      <c r="L44" s="22"/>
    </row>
    <row r="45" spans="2:12" x14ac:dyDescent="0.45">
      <c r="B45" s="32"/>
      <c r="C45" s="20"/>
      <c r="D45" s="24"/>
      <c r="E45" s="22"/>
      <c r="F45" s="22"/>
      <c r="H45" s="32"/>
      <c r="I45" s="20"/>
      <c r="J45" s="24"/>
      <c r="K45" s="22"/>
      <c r="L45" s="22"/>
    </row>
    <row r="46" spans="2:12" x14ac:dyDescent="0.45">
      <c r="B46" s="32"/>
      <c r="C46" s="20"/>
      <c r="D46" s="24"/>
      <c r="E46" s="22"/>
      <c r="F46" s="22"/>
      <c r="H46" s="32"/>
      <c r="I46" s="20"/>
      <c r="J46" s="24"/>
      <c r="K46" s="22"/>
      <c r="L46" s="22"/>
    </row>
    <row r="47" spans="2:12" x14ac:dyDescent="0.45">
      <c r="B47" s="32"/>
      <c r="C47" s="20"/>
      <c r="D47" s="24"/>
      <c r="E47" s="22"/>
      <c r="F47" s="22"/>
      <c r="H47" s="32"/>
      <c r="I47" s="20"/>
      <c r="J47" s="24"/>
      <c r="K47" s="22"/>
      <c r="L47" s="22"/>
    </row>
    <row r="48" spans="2:12" x14ac:dyDescent="0.45">
      <c r="B48" s="32"/>
      <c r="C48" s="20"/>
      <c r="D48" s="24"/>
      <c r="E48" s="22"/>
      <c r="F48" s="22"/>
      <c r="H48" s="32"/>
      <c r="I48" s="20"/>
      <c r="J48" s="24"/>
      <c r="K48" s="22"/>
      <c r="L48" s="22"/>
    </row>
    <row r="49" spans="2:12" x14ac:dyDescent="0.45">
      <c r="B49" s="32"/>
      <c r="C49" s="20"/>
      <c r="D49" s="21"/>
      <c r="E49" s="22"/>
      <c r="F49" s="22"/>
      <c r="H49" s="32"/>
      <c r="I49" s="20"/>
      <c r="J49" s="21"/>
      <c r="K49" s="22"/>
      <c r="L49" s="22"/>
    </row>
    <row r="51" spans="2:12" x14ac:dyDescent="0.45">
      <c r="E51" s="16"/>
      <c r="K51" s="16"/>
    </row>
    <row r="52" spans="2:12" ht="18" customHeight="1" x14ac:dyDescent="0.45">
      <c r="B52" s="31"/>
      <c r="C52" s="23"/>
      <c r="D52" s="23"/>
      <c r="E52" s="23"/>
      <c r="F52" s="23"/>
      <c r="H52" s="31"/>
      <c r="I52" s="23"/>
      <c r="J52" s="23"/>
      <c r="K52" s="23"/>
      <c r="L52" s="23"/>
    </row>
    <row r="53" spans="2:12" x14ac:dyDescent="0.45">
      <c r="B53" s="32"/>
      <c r="C53" s="20"/>
      <c r="D53" s="24"/>
      <c r="E53" s="25"/>
      <c r="F53" s="25"/>
      <c r="H53" s="32"/>
      <c r="I53" s="20"/>
      <c r="J53" s="24"/>
      <c r="K53" s="25"/>
      <c r="L53" s="25"/>
    </row>
    <row r="54" spans="2:12" x14ac:dyDescent="0.45">
      <c r="B54" s="32"/>
      <c r="C54" s="20"/>
      <c r="D54" s="24"/>
      <c r="E54" s="22"/>
      <c r="F54" s="22"/>
      <c r="H54" s="32"/>
      <c r="I54" s="20"/>
      <c r="J54" s="24"/>
      <c r="K54" s="22"/>
      <c r="L54" s="22"/>
    </row>
    <row r="55" spans="2:12" x14ac:dyDescent="0.45">
      <c r="B55" s="32"/>
      <c r="C55" s="20"/>
      <c r="D55" s="24"/>
      <c r="E55" s="22"/>
      <c r="F55" s="22"/>
      <c r="H55" s="32"/>
      <c r="I55" s="20"/>
      <c r="J55" s="24"/>
      <c r="K55" s="22"/>
      <c r="L55" s="22"/>
    </row>
    <row r="56" spans="2:12" x14ac:dyDescent="0.45">
      <c r="B56" s="32"/>
      <c r="C56" s="20"/>
      <c r="D56" s="24"/>
      <c r="E56" s="22"/>
      <c r="F56" s="22"/>
      <c r="H56" s="32"/>
      <c r="I56" s="20"/>
      <c r="J56" s="24"/>
      <c r="K56" s="22"/>
      <c r="L56" s="22"/>
    </row>
    <row r="57" spans="2:12" x14ac:dyDescent="0.45">
      <c r="B57" s="32"/>
      <c r="C57" s="20"/>
      <c r="D57" s="24"/>
      <c r="E57" s="22"/>
      <c r="F57" s="22"/>
      <c r="H57" s="32"/>
      <c r="I57" s="20"/>
      <c r="J57" s="24"/>
      <c r="K57" s="22"/>
      <c r="L57" s="22"/>
    </row>
    <row r="58" spans="2:12" x14ac:dyDescent="0.45">
      <c r="B58" s="32"/>
      <c r="C58" s="20"/>
      <c r="D58" s="24"/>
      <c r="E58" s="22"/>
      <c r="F58" s="22"/>
      <c r="H58" s="32"/>
      <c r="I58" s="20"/>
      <c r="J58" s="24"/>
      <c r="K58" s="22"/>
      <c r="L58" s="22"/>
    </row>
    <row r="59" spans="2:12" x14ac:dyDescent="0.45">
      <c r="B59" s="32"/>
      <c r="C59" s="20"/>
      <c r="D59" s="24"/>
      <c r="E59" s="22"/>
      <c r="F59" s="22"/>
      <c r="H59" s="32"/>
      <c r="I59" s="20"/>
      <c r="J59" s="24"/>
      <c r="K59" s="22"/>
      <c r="L59" s="22"/>
    </row>
    <row r="60" spans="2:12" x14ac:dyDescent="0.45">
      <c r="B60" s="32"/>
      <c r="C60" s="20"/>
      <c r="D60" s="24"/>
      <c r="E60" s="22"/>
      <c r="F60" s="22"/>
      <c r="H60" s="32"/>
      <c r="I60" s="20"/>
      <c r="J60" s="24"/>
      <c r="K60" s="22"/>
      <c r="L60" s="22"/>
    </row>
    <row r="61" spans="2:12" x14ac:dyDescent="0.45">
      <c r="B61" s="32"/>
      <c r="C61" s="20"/>
      <c r="D61" s="21"/>
      <c r="E61" s="22"/>
      <c r="F61" s="22"/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B28:B37"/>
    <mergeCell ref="H16:H25"/>
    <mergeCell ref="B52:B61"/>
  </mergeCells>
  <pageMargins left="0.7" right="0.7" top="0.75" bottom="0.75" header="0.3" footer="0.3"/>
  <pageSetup paperSize="9" orientation="portrait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Forecast</vt:lpstr>
      <vt:lpstr>Accomodation</vt:lpstr>
      <vt:lpstr>Transports</vt:lpstr>
      <vt:lpstr>Shopping</vt:lpstr>
      <vt:lpstr>Entertainment</vt:lpstr>
      <vt:lpstr>Health</vt:lpstr>
      <vt:lpstr>Bank</vt:lpstr>
      <vt:lpstr>Savings</vt:lpstr>
      <vt:lpstr>Tax</vt:lpstr>
      <vt:lpstr>Income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Kevin GUILLOUX</cp:lastModifiedBy>
  <dcterms:created xsi:type="dcterms:W3CDTF">2026-04-20T21:49:33Z</dcterms:created>
  <dcterms:modified xsi:type="dcterms:W3CDTF">2026-05-17T00:46:07Z</dcterms:modified>
</cp:coreProperties>
</file>