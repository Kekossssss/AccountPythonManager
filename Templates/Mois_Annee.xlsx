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kevin\AppData\Roaming\MobaXterm\slash\mx86_64b\RemoteFiles\394866_2_4\"/>
    </mc:Choice>
  </mc:AlternateContent>
  <xr:revisionPtr revIDLastSave="0" documentId="13_ncr:1_{AFE4F615-8631-4AD9-936E-21FE3BB20DBC}" xr6:coauthVersionLast="47" xr6:coauthVersionMax="47" xr10:uidLastSave="{00000000-0000-0000-0000-000000000000}"/>
  <bookViews>
    <workbookView xWindow="-83" yWindow="0" windowWidth="10965" windowHeight="12863" firstSheet="6" activeTab="8" xr2:uid="{00000000-000D-0000-FFFF-FFFF00000000}"/>
  </bookViews>
  <sheets>
    <sheet name="Logement" sheetId="1" r:id="rId1"/>
    <sheet name="Transports" sheetId="2" r:id="rId2"/>
    <sheet name="Courses" sheetId="3" r:id="rId3"/>
    <sheet name="Loisirs" sheetId="4" r:id="rId4"/>
    <sheet name="Santé" sheetId="6" r:id="rId5"/>
    <sheet name="Banque" sheetId="7" r:id="rId6"/>
    <sheet name="Epargne" sheetId="8" r:id="rId7"/>
    <sheet name="Impôts" sheetId="10" r:id="rId8"/>
    <sheet name="Salaires" sheetId="11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5" i="11" l="1"/>
  <c r="K25" i="11"/>
  <c r="F25" i="11"/>
  <c r="E25" i="11"/>
  <c r="L13" i="11"/>
  <c r="K13" i="11"/>
  <c r="F13" i="11"/>
  <c r="E13" i="11"/>
  <c r="L13" i="10"/>
  <c r="K13" i="10"/>
  <c r="F13" i="10"/>
  <c r="E13" i="10"/>
  <c r="L25" i="7"/>
  <c r="K25" i="7"/>
  <c r="F25" i="7"/>
  <c r="E25" i="7"/>
  <c r="L13" i="7"/>
  <c r="K13" i="7"/>
  <c r="F13" i="7"/>
  <c r="E13" i="7"/>
  <c r="L37" i="6"/>
  <c r="K37" i="6"/>
  <c r="F37" i="6"/>
  <c r="E37" i="6"/>
  <c r="L25" i="6"/>
  <c r="K25" i="6"/>
  <c r="F25" i="6"/>
  <c r="E25" i="6"/>
  <c r="L13" i="6"/>
  <c r="K13" i="6"/>
  <c r="F13" i="6"/>
  <c r="E13" i="6"/>
  <c r="F61" i="4"/>
  <c r="E61" i="4"/>
  <c r="L49" i="4"/>
  <c r="K49" i="4"/>
  <c r="F49" i="4"/>
  <c r="E49" i="4"/>
  <c r="L37" i="4"/>
  <c r="K37" i="4"/>
  <c r="F37" i="4"/>
  <c r="E37" i="4"/>
  <c r="L25" i="4"/>
  <c r="K25" i="4"/>
  <c r="F25" i="4"/>
  <c r="E25" i="4"/>
  <c r="L13" i="4"/>
  <c r="K13" i="4"/>
  <c r="F13" i="4"/>
  <c r="E13" i="4"/>
  <c r="F27" i="3"/>
  <c r="E27" i="3"/>
  <c r="F15" i="3"/>
  <c r="E15" i="3"/>
  <c r="L13" i="3"/>
  <c r="K13" i="3"/>
  <c r="F61" i="2"/>
  <c r="E61" i="2"/>
  <c r="L49" i="2"/>
  <c r="K49" i="2"/>
  <c r="F49" i="2"/>
  <c r="E49" i="2"/>
  <c r="L37" i="2"/>
  <c r="K37" i="2"/>
  <c r="F37" i="2"/>
  <c r="E37" i="2"/>
  <c r="L25" i="2"/>
  <c r="K25" i="2"/>
  <c r="F25" i="2"/>
  <c r="E25" i="2"/>
  <c r="L13" i="2"/>
  <c r="K13" i="2"/>
  <c r="F13" i="2"/>
  <c r="E13" i="2"/>
  <c r="F61" i="1"/>
  <c r="E61" i="1"/>
  <c r="L49" i="1"/>
  <c r="K49" i="1"/>
  <c r="F49" i="1"/>
  <c r="E49" i="1"/>
  <c r="L37" i="1"/>
  <c r="K37" i="1"/>
  <c r="F37" i="1"/>
  <c r="E37" i="1"/>
  <c r="L25" i="1"/>
  <c r="K25" i="1"/>
  <c r="F25" i="1"/>
  <c r="E25" i="1"/>
  <c r="L13" i="1"/>
  <c r="K13" i="1"/>
  <c r="F13" i="1"/>
  <c r="E13" i="1"/>
  <c r="L13" i="8"/>
  <c r="K13" i="8"/>
  <c r="F13" i="8"/>
  <c r="E13" i="8"/>
</calcChain>
</file>

<file path=xl/sharedStrings.xml><?xml version="1.0" encoding="utf-8"?>
<sst xmlns="http://schemas.openxmlformats.org/spreadsheetml/2006/main" count="307" uniqueCount="54">
  <si>
    <t>Détail Dépenses/Revenus Epargne Avril 2026</t>
  </si>
  <si>
    <t>TOTAL</t>
  </si>
  <si>
    <t>Détail</t>
  </si>
  <si>
    <t>Date</t>
  </si>
  <si>
    <t>Revenus</t>
  </si>
  <si>
    <t>Dépenses</t>
  </si>
  <si>
    <t>Total</t>
  </si>
  <si>
    <t>AUTRE</t>
  </si>
  <si>
    <t>Détail Dépenses/Revenus Logement Avril 2026</t>
  </si>
  <si>
    <t>LOYER</t>
  </si>
  <si>
    <t>ELECTRICITE</t>
  </si>
  <si>
    <t>INTERNET</t>
  </si>
  <si>
    <t>EAU</t>
  </si>
  <si>
    <t>TELEPHONE</t>
  </si>
  <si>
    <t>GAZ</t>
  </si>
  <si>
    <t>MEUBLES</t>
  </si>
  <si>
    <t>ASSURANCE</t>
  </si>
  <si>
    <t>Détail Dépenses/Revenus Transports Avril 2026</t>
  </si>
  <si>
    <t>ACHAT VEHICULE</t>
  </si>
  <si>
    <t>ENTRETIEN VEHICULE</t>
  </si>
  <si>
    <t>CARBURANT</t>
  </si>
  <si>
    <t>BUS</t>
  </si>
  <si>
    <t>TRAIN</t>
  </si>
  <si>
    <t>TAXI</t>
  </si>
  <si>
    <t>AVION</t>
  </si>
  <si>
    <t>Détail Dépenses/Revenus Courses Avril 2026</t>
  </si>
  <si>
    <t>ALIMENTAIRES</t>
  </si>
  <si>
    <t>HYGIENE</t>
  </si>
  <si>
    <t>Détail Dépenses/Revenus Loisirs Avril 2026</t>
  </si>
  <si>
    <t>ABONNEMENTS</t>
  </si>
  <si>
    <t>CULTURE</t>
  </si>
  <si>
    <t>JEUX VIDEOS</t>
  </si>
  <si>
    <t>MATERIEL SPORT</t>
  </si>
  <si>
    <t>RESTAURANTS</t>
  </si>
  <si>
    <t>BARS</t>
  </si>
  <si>
    <t>MULTIMEDIA</t>
  </si>
  <si>
    <t>SOIREES</t>
  </si>
  <si>
    <t>Détail Dépenses/Revenus Santé Avril 2026</t>
  </si>
  <si>
    <t>HOPITAL</t>
  </si>
  <si>
    <t>COIFFURE</t>
  </si>
  <si>
    <t>MEDICAMENTS</t>
  </si>
  <si>
    <t>Détail Dépenses/Revenus Banque Avril 2026</t>
  </si>
  <si>
    <t>FRAIS DE GESTION</t>
  </si>
  <si>
    <t>PRÊTS</t>
  </si>
  <si>
    <t>CREDITS</t>
  </si>
  <si>
    <t>Détail Dépenses/Revenus Impôts Avril 2026</t>
  </si>
  <si>
    <t>IMPÔTS</t>
  </si>
  <si>
    <t>SALAIRE</t>
  </si>
  <si>
    <t>ORGANISMES ETAT</t>
  </si>
  <si>
    <t>CADEAUX</t>
  </si>
  <si>
    <t>ASSURANCE+H52:J61</t>
  </si>
  <si>
    <t>DOCTOR</t>
  </si>
  <si>
    <t>COMPTE EPARGNE</t>
  </si>
  <si>
    <t>Détail Dépenses/Revenus Salaires Avril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</si>
</sst>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4" formatCode="_-* #,##0.00\ &quot;€&quot;_-;\-* #,##0.00\ &quot;€&quot;_-;_-* &quot;-&quot;??\ &quot;€&quot;_-;_-@_-"/>
    <numFmt numFmtId="164" formatCode="_-* #,##0.00\ [$€-40C]_-;\-* #,##0.00\ [$€-40C]_-;_-* &quot;-&quot;??\ [$€-40C]_-;_-@_-"/>
    <numFmt numFmtId="165" formatCode="yyyy\-mm\-dd\ hh:mm:ss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i/>
      <sz val="26"/>
      <color rgb="FF404040"/>
      <name val="Calibri"/>
      <family val="2"/>
    </font>
    <font>
      <b/>
      <sz val="20"/>
      <color rgb="FF000000"/>
      <name val="Calibri"/>
      <family val="2"/>
    </font>
    <font>
      <b/>
      <sz val="24"/>
      <color rgb="FF000000"/>
      <name val="Calibri"/>
      <family val="2"/>
    </font>
    <font>
      <b/>
      <sz val="16"/>
      <color rgb="FFFFFFFF"/>
      <name val="Calibri"/>
      <family val="2"/>
    </font>
    <font>
      <sz val="14"/>
      <color rgb="FF000000"/>
      <name val="Calibri"/>
      <family val="2"/>
    </font>
    <font>
      <b/>
      <sz val="18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BFBFBF"/>
        <bgColor rgb="FF000000"/>
      </patternFill>
    </fill>
    <fill>
      <patternFill patternType="solid">
        <fgColor rgb="FFED7D31"/>
        <bgColor rgb="FF000000"/>
      </patternFill>
    </fill>
    <fill>
      <patternFill patternType="solid">
        <fgColor theme="0" tint="-0.249977111117893"/>
        <bgColor rgb="FF000000"/>
      </patternFill>
    </fill>
    <fill>
      <patternFill patternType="solid">
        <fgColor theme="0"/>
        <bgColor rgb="FF000000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1" fillId="0" borderId="0"/>
  </cellStyleXfs>
  <cellXfs count="35">
    <xf numFmtId="0" fontId="0" fillId="0" borderId="0" xfId="0"/>
    <xf numFmtId="0" fontId="2" fillId="3" borderId="0" xfId="0" applyFont="1" applyFill="1" applyAlignment="1">
      <alignment vertical="center"/>
    </xf>
    <xf numFmtId="0" fontId="4" fillId="3" borderId="0" xfId="0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14" fontId="2" fillId="0" borderId="0" xfId="0" applyNumberFormat="1" applyFont="1" applyAlignment="1">
      <alignment horizontal="center" vertical="center"/>
    </xf>
    <xf numFmtId="164" fontId="2" fillId="0" borderId="0" xfId="0" applyNumberFormat="1" applyFont="1" applyAlignment="1">
      <alignment vertical="center"/>
    </xf>
    <xf numFmtId="16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2" fillId="3" borderId="0" xfId="0" applyNumberFormat="1" applyFont="1" applyFill="1" applyAlignment="1">
      <alignment vertical="center"/>
    </xf>
    <xf numFmtId="0" fontId="6" fillId="3" borderId="0" xfId="0" applyFont="1" applyFill="1" applyAlignment="1">
      <alignment vertical="center" textRotation="90"/>
    </xf>
    <xf numFmtId="0" fontId="7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14" fontId="2" fillId="3" borderId="0" xfId="0" applyNumberFormat="1" applyFont="1" applyFill="1" applyAlignment="1">
      <alignment horizontal="center" vertical="center"/>
    </xf>
    <xf numFmtId="164" fontId="2" fillId="3" borderId="0" xfId="0" applyNumberFormat="1" applyFont="1" applyFill="1" applyAlignment="1">
      <alignment horizontal="center" vertical="center"/>
    </xf>
    <xf numFmtId="0" fontId="0" fillId="2" borderId="0" xfId="0" applyFill="1"/>
    <xf numFmtId="165" fontId="0" fillId="2" borderId="0" xfId="0" applyNumberFormat="1" applyFill="1"/>
    <xf numFmtId="44" fontId="8" fillId="6" borderId="2" xfId="0" applyNumberFormat="1" applyFont="1" applyFill="1" applyBorder="1" applyAlignment="1">
      <alignment horizontal="right" vertical="center" wrapText="1"/>
    </xf>
    <xf numFmtId="44" fontId="8" fillId="6" borderId="2" xfId="1" applyFont="1" applyFill="1" applyBorder="1" applyAlignment="1">
      <alignment horizontal="right" vertical="center" wrapText="1"/>
    </xf>
    <xf numFmtId="0" fontId="5" fillId="4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164" fontId="2" fillId="2" borderId="0" xfId="0" applyNumberFormat="1" applyFont="1" applyFill="1" applyAlignment="1">
      <alignment vertical="center"/>
    </xf>
    <xf numFmtId="0" fontId="7" fillId="2" borderId="0" xfId="0" applyFont="1" applyFill="1" applyAlignment="1">
      <alignment horizontal="center" vertical="center"/>
    </xf>
    <xf numFmtId="14" fontId="2" fillId="2" borderId="0" xfId="0" applyNumberFormat="1" applyFont="1" applyFill="1" applyAlignment="1">
      <alignment horizontal="center" vertical="center"/>
    </xf>
    <xf numFmtId="164" fontId="2" fillId="2" borderId="0" xfId="0" applyNumberFormat="1" applyFont="1" applyFill="1" applyAlignment="1">
      <alignment horizontal="center" vertical="center"/>
    </xf>
    <xf numFmtId="0" fontId="7" fillId="3" borderId="0" xfId="0" applyFont="1" applyFill="1" applyAlignment="1">
      <alignment horizontal="left" vertical="center"/>
    </xf>
    <xf numFmtId="14" fontId="7" fillId="3" borderId="0" xfId="0" applyNumberFormat="1" applyFont="1" applyFill="1" applyAlignment="1">
      <alignment horizontal="center" vertical="center"/>
    </xf>
    <xf numFmtId="164" fontId="7" fillId="3" borderId="0" xfId="0" applyNumberFormat="1" applyFont="1" applyFill="1" applyAlignment="1">
      <alignment horizontal="center" vertical="center"/>
    </xf>
    <xf numFmtId="0" fontId="2" fillId="7" borderId="0" xfId="0" applyFont="1" applyFill="1" applyAlignment="1">
      <alignment vertical="center"/>
    </xf>
    <xf numFmtId="0" fontId="3" fillId="4" borderId="0" xfId="0" applyFont="1" applyFill="1" applyAlignment="1">
      <alignment horizontal="left" vertical="center"/>
    </xf>
    <xf numFmtId="0" fontId="0" fillId="2" borderId="0" xfId="0" applyFill="1"/>
    <xf numFmtId="0" fontId="6" fillId="5" borderId="0" xfId="0" applyFont="1" applyFill="1" applyAlignment="1">
      <alignment horizontal="center" vertical="center" textRotation="90"/>
    </xf>
    <xf numFmtId="0" fontId="6" fillId="7" borderId="0" xfId="0" applyFont="1" applyFill="1" applyAlignment="1">
      <alignment horizontal="center" vertical="center" textRotation="90"/>
    </xf>
    <xf numFmtId="0" fontId="6" fillId="2" borderId="0" xfId="0" applyFont="1" applyFill="1"/>
  </cellXfs>
  <cellStyles count="2">
    <cellStyle name="Monétaire" xfId="1" builtinId="4"/>
    <cellStyle name="Normal" xfId="0" builtinId="0"/>
  </cellStyles>
  <dxfs count="54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* #,##0.00\ [$€-40C]_-;\-* #,##0.00\ [$€-40C]_-;_-* &quot;-&quot;??\ [$€-40C]_-;_-@_-"/>
      <alignment horizontal="general" vertical="center" textRotation="0" wrapText="0" indent="0" justifyLastLine="0" shrinkToFit="0" readingOrder="0"/>
    </dxf>
    <dxf>
      <numFmt numFmtId="164" formatCode="_-* #,##0.00\ [$€-40C]_-;\-* #,##0.00\ [$€-40C]_-;_-* &quot;-&quot;??\ [$€-40C]_-;_-@_-"/>
      <fill>
        <patternFill>
          <fgColor rgb="FF000000"/>
          <bgColor rgb="FFFFFFFF"/>
        </patternFill>
      </fill>
      <alignment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* #,##0.00\ [$€-40C]_-;\-* #,##0.00\ [$€-40C]_-;_-* &quot;-&quot;??\ [$€-40C]_-;_-@_-"/>
      <alignment horizontal="general" vertical="center" textRotation="0" wrapText="0" indent="0" justifyLastLine="0" shrinkToFit="0" readingOrder="0"/>
    </dxf>
    <dxf>
      <numFmt numFmtId="164" formatCode="_-* #,##0.00\ [$€-40C]_-;\-* #,##0.00\ [$€-40C]_-;_-* &quot;-&quot;??\ [$€-40C]_-;_-@_-"/>
      <fill>
        <patternFill>
          <fgColor rgb="FF000000"/>
          <bgColor rgb="FFFFFFFF"/>
        </patternFill>
      </fill>
      <alignment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numFmt numFmtId="19" formatCode="dd/mm/yyyy"/>
      <fill>
        <patternFill>
          <fgColor rgb="FF000000"/>
          <bgColor rgb="FFFFFFFF"/>
        </patternFill>
      </fill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ill>
        <patternFill>
          <fgColor rgb="FF000000"/>
          <bgColor rgb="FFFFFFFF"/>
        </patternFill>
      </fill>
      <alignment horizontal="left" vertical="center"/>
    </dxf>
    <dxf>
      <alignment vertical="center"/>
    </dxf>
    <dxf>
      <fill>
        <patternFill>
          <fgColor rgb="FF000000"/>
          <bgColor rgb="FFFFFFFF"/>
        </patternFill>
      </fill>
      <alignment vertical="center"/>
    </dxf>
    <dxf>
      <fill>
        <patternFill>
          <fgColor rgb="FF000000"/>
          <bgColor rgb="FFFFFFFF"/>
        </patternFill>
      </fill>
      <alignment horizontal="center" vertical="center"/>
    </dxf>
    <dxf>
      <numFmt numFmtId="164" formatCode="_-* #,##0.00\ [$€-40C]_-;\-* #,##0.00\ [$€-40C]_-;_-* &quot;-&quot;??\ [$€-40C]_-;_-@_-"/>
      <alignment horizontal="general" vertical="center"/>
    </dxf>
    <dxf>
      <numFmt numFmtId="164" formatCode="_-* #,##0.00\ [$€-40C]_-;\-* #,##0.00\ [$€-40C]_-;_-* &quot;-&quot;??\ [$€-40C]_-;_-@_-"/>
      <fill>
        <patternFill>
          <fgColor rgb="FF000000"/>
          <bgColor rgb="FFFFFFFF"/>
        </patternFill>
      </fill>
      <alignment vertical="center"/>
    </dxf>
    <dxf>
      <numFmt numFmtId="164" formatCode="_-* #,##0.00\ [$€-40C]_-;\-* #,##0.00\ [$€-40C]_-;_-* &quot;-&quot;??\ [$€-40C]_-;_-@_-"/>
      <alignment horizontal="general" vertical="center"/>
    </dxf>
    <dxf>
      <numFmt numFmtId="164" formatCode="_-* #,##0.00\ [$€-40C]_-;\-* #,##0.00\ [$€-40C]_-;_-* &quot;-&quot;??\ [$€-40C]_-;_-@_-"/>
      <fill>
        <patternFill>
          <fgColor rgb="FF000000"/>
          <bgColor rgb="FFFFFFFF"/>
        </patternFill>
      </fill>
      <alignment vertical="center"/>
    </dxf>
    <dxf>
      <alignment horizontal="center" vertical="center"/>
    </dxf>
    <dxf>
      <numFmt numFmtId="19" formatCode="dd/mm/yyyy"/>
      <fill>
        <patternFill>
          <fgColor rgb="FF000000"/>
          <bgColor rgb="FFFFFFFF"/>
        </patternFill>
      </fill>
      <alignment horizontal="center" vertical="center"/>
    </dxf>
    <dxf>
      <alignment horizontal="left" vertical="center"/>
    </dxf>
    <dxf>
      <fill>
        <patternFill>
          <fgColor rgb="FF000000"/>
          <bgColor rgb="FFFFFFFF"/>
        </patternFill>
      </fill>
      <alignment horizontal="left" vertical="center"/>
    </dxf>
    <dxf>
      <alignment vertical="center"/>
    </dxf>
    <dxf>
      <fill>
        <patternFill>
          <fgColor rgb="FF000000"/>
          <bgColor rgb="FFFFFFFF"/>
        </patternFill>
      </fill>
      <alignment vertical="center"/>
    </dxf>
    <dxf>
      <fill>
        <patternFill>
          <fgColor rgb="FF000000"/>
          <bgColor rgb="FFFFFFFF"/>
        </patternFill>
      </fill>
      <alignment horizontal="center" vertical="center"/>
    </dxf>
    <dxf>
      <numFmt numFmtId="164" formatCode="_-* #,##0.00\ [$€-40C]_-;\-* #,##0.00\ [$€-40C]_-;_-* &quot;-&quot;??\ [$€-40C]_-;_-@_-"/>
      <alignment horizontal="general" vertical="center"/>
    </dxf>
    <dxf>
      <numFmt numFmtId="164" formatCode="_-* #,##0.00\ [$€-40C]_-;\-* #,##0.00\ [$€-40C]_-;_-* &quot;-&quot;??\ [$€-40C]_-;_-@_-"/>
      <fill>
        <patternFill>
          <fgColor rgb="FF000000"/>
          <bgColor rgb="FFFFFFFF"/>
        </patternFill>
      </fill>
      <alignment vertical="center"/>
    </dxf>
    <dxf>
      <numFmt numFmtId="164" formatCode="_-* #,##0.00\ [$€-40C]_-;\-* #,##0.00\ [$€-40C]_-;_-* &quot;-&quot;??\ [$€-40C]_-;_-@_-"/>
      <alignment horizontal="general" vertical="center"/>
    </dxf>
    <dxf>
      <numFmt numFmtId="164" formatCode="_-* #,##0.00\ [$€-40C]_-;\-* #,##0.00\ [$€-40C]_-;_-* &quot;-&quot;??\ [$€-40C]_-;_-@_-"/>
      <fill>
        <patternFill>
          <fgColor rgb="FF000000"/>
          <bgColor rgb="FFFFFFFF"/>
        </patternFill>
      </fill>
      <alignment vertical="center"/>
    </dxf>
    <dxf>
      <alignment horizontal="center" vertical="center"/>
    </dxf>
    <dxf>
      <numFmt numFmtId="19" formatCode="dd/mm/yyyy"/>
      <fill>
        <patternFill>
          <fgColor rgb="FF000000"/>
          <bgColor rgb="FFFFFFFF"/>
        </patternFill>
      </fill>
      <alignment horizontal="center" vertical="center"/>
    </dxf>
    <dxf>
      <alignment horizontal="left" vertical="center"/>
    </dxf>
    <dxf>
      <fill>
        <patternFill>
          <fgColor rgb="FF000000"/>
          <bgColor rgb="FFFFFFFF"/>
        </patternFill>
      </fill>
      <alignment horizontal="left" vertical="center"/>
    </dxf>
    <dxf>
      <alignment vertical="center"/>
    </dxf>
    <dxf>
      <fill>
        <patternFill>
          <fgColor rgb="FF000000"/>
          <bgColor rgb="FFFFFFFF"/>
        </patternFill>
      </fill>
      <alignment vertical="center"/>
    </dxf>
    <dxf>
      <fill>
        <patternFill>
          <fgColor rgb="FF000000"/>
          <bgColor rgb="FFFFFFFF"/>
        </patternFill>
      </fill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* #,##0.00\ [$€-40C]_-;\-* #,##0.00\ [$€-40C]_-;_-* &quot;-&quot;??\ [$€-40C]_-;_-@_-"/>
      <alignment horizontal="general" vertical="center" textRotation="0" wrapText="0" indent="0" justifyLastLine="0" shrinkToFit="0" readingOrder="0"/>
    </dxf>
    <dxf>
      <numFmt numFmtId="164" formatCode="_-* #,##0.00\ [$€-40C]_-;\-* #,##0.00\ [$€-40C]_-;_-* &quot;-&quot;??\ [$€-40C]_-;_-@_-"/>
      <fill>
        <patternFill>
          <fgColor rgb="FF000000"/>
          <bgColor rgb="FFFFFFFF"/>
        </patternFill>
      </fill>
      <alignment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* #,##0.00\ [$€-40C]_-;\-* #,##0.00\ [$€-40C]_-;_-* &quot;-&quot;??\ [$€-40C]_-;_-@_-"/>
      <alignment horizontal="general" vertical="center" textRotation="0" wrapText="0" indent="0" justifyLastLine="0" shrinkToFit="0" readingOrder="0"/>
    </dxf>
    <dxf>
      <numFmt numFmtId="164" formatCode="_-* #,##0.00\ [$€-40C]_-;\-* #,##0.00\ [$€-40C]_-;_-* &quot;-&quot;??\ [$€-40C]_-;_-@_-"/>
      <fill>
        <patternFill>
          <fgColor rgb="FF000000"/>
          <bgColor rgb="FFFFFFFF"/>
        </patternFill>
      </fill>
      <alignment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numFmt numFmtId="19" formatCode="dd/mm/yyyy"/>
      <fill>
        <patternFill>
          <fgColor rgb="FF000000"/>
          <bgColor rgb="FFFFFFFF"/>
        </patternFill>
      </fill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ill>
        <patternFill>
          <fgColor rgb="FF000000"/>
          <bgColor rgb="FFFFFFFF"/>
        </patternFill>
      </fill>
      <alignment horizontal="left" vertical="center"/>
    </dxf>
    <dxf>
      <alignment vertical="center"/>
    </dxf>
    <dxf>
      <fill>
        <patternFill>
          <fgColor rgb="FF000000"/>
          <bgColor rgb="FFFFFFFF"/>
        </patternFill>
      </fill>
      <alignment vertical="center"/>
    </dxf>
    <dxf>
      <fill>
        <patternFill>
          <fgColor rgb="FF000000"/>
          <bgColor rgb="FFFFFFFF"/>
        </patternFill>
      </fill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</font>
      <numFmt numFmtId="164" formatCode="_-* #,##0.00\ [$€-40C]_-;\-* #,##0.00\ [$€-40C]_-;_-* &quot;-&quot;??\ [$€-40C]_-;_-@_-"/>
      <alignment horizontal="general" vertical="center"/>
    </dxf>
    <dxf>
      <numFmt numFmtId="164" formatCode="_-* #,##0.00\ [$€-40C]_-;\-* #,##0.00\ [$€-40C]_-;_-* &quot;-&quot;??\ [$€-40C]_-;_-@_-"/>
      <fill>
        <patternFill>
          <fgColor rgb="FF000000"/>
          <bgColor rgb="FFFFFFFF"/>
        </patternFill>
      </fill>
      <alignment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</font>
      <numFmt numFmtId="164" formatCode="_-* #,##0.00\ [$€-40C]_-;\-* #,##0.00\ [$€-40C]_-;_-* &quot;-&quot;??\ [$€-40C]_-;_-@_-"/>
      <alignment horizontal="general" vertical="center"/>
    </dxf>
    <dxf>
      <numFmt numFmtId="164" formatCode="_-* #,##0.00\ [$€-40C]_-;\-* #,##0.00\ [$€-40C]_-;_-* &quot;-&quot;??\ [$€-40C]_-;_-@_-"/>
      <fill>
        <patternFill>
          <fgColor rgb="FF000000"/>
          <bgColor rgb="FFFFFFFF"/>
        </patternFill>
      </fill>
      <alignment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</font>
      <alignment horizontal="center" vertical="center"/>
    </dxf>
    <dxf>
      <numFmt numFmtId="19" formatCode="dd/mm/yyyy"/>
      <fill>
        <patternFill>
          <fgColor rgb="FF000000"/>
          <bgColor rgb="FFFFFFFF"/>
        </patternFill>
      </fill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</font>
      <alignment horizontal="left" vertical="center"/>
    </dxf>
    <dxf>
      <fill>
        <patternFill>
          <fgColor rgb="FF000000"/>
          <bgColor rgb="FFFFFFFF"/>
        </patternFill>
      </fill>
      <alignment horizontal="left" vertical="center"/>
    </dxf>
    <dxf>
      <alignment vertical="center"/>
    </dxf>
    <dxf>
      <fill>
        <patternFill>
          <fgColor rgb="FF000000"/>
          <bgColor rgb="FFFFFFFF"/>
        </patternFill>
      </fill>
      <alignment vertical="center"/>
    </dxf>
    <dxf>
      <fill>
        <patternFill>
          <fgColor rgb="FF000000"/>
          <bgColor rgb="FFFFFFFF"/>
        </patternFill>
      </fill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</font>
      <numFmt numFmtId="164" formatCode="_-* #,##0.00\ [$€-40C]_-;\-* #,##0.00\ [$€-40C]_-;_-* &quot;-&quot;??\ [$€-40C]_-;_-@_-"/>
      <alignment horizontal="general" vertical="center"/>
    </dxf>
    <dxf>
      <numFmt numFmtId="164" formatCode="_-* #,##0.00\ [$€-40C]_-;\-* #,##0.00\ [$€-40C]_-;_-* &quot;-&quot;??\ [$€-40C]_-;_-@_-"/>
      <fill>
        <patternFill>
          <fgColor rgb="FF000000"/>
          <bgColor rgb="FFFFFFFF"/>
        </patternFill>
      </fill>
      <alignment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</font>
      <numFmt numFmtId="164" formatCode="_-* #,##0.00\ [$€-40C]_-;\-* #,##0.00\ [$€-40C]_-;_-* &quot;-&quot;??\ [$€-40C]_-;_-@_-"/>
      <alignment horizontal="general" vertical="center"/>
    </dxf>
    <dxf>
      <numFmt numFmtId="164" formatCode="_-* #,##0.00\ [$€-40C]_-;\-* #,##0.00\ [$€-40C]_-;_-* &quot;-&quot;??\ [$€-40C]_-;_-@_-"/>
      <fill>
        <patternFill>
          <fgColor rgb="FF000000"/>
          <bgColor rgb="FFFFFFFF"/>
        </patternFill>
      </fill>
      <alignment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</font>
      <alignment horizontal="center" vertical="center"/>
    </dxf>
    <dxf>
      <numFmt numFmtId="19" formatCode="dd/mm/yyyy"/>
      <fill>
        <patternFill>
          <fgColor rgb="FF000000"/>
          <bgColor rgb="FFFFFFFF"/>
        </patternFill>
      </fill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</font>
      <alignment horizontal="left" vertical="center"/>
    </dxf>
    <dxf>
      <fill>
        <patternFill>
          <fgColor rgb="FF000000"/>
          <bgColor rgb="FFFFFFFF"/>
        </patternFill>
      </fill>
      <alignment horizontal="left" vertical="center"/>
    </dxf>
    <dxf>
      <alignment vertical="center"/>
    </dxf>
    <dxf>
      <fill>
        <patternFill>
          <fgColor rgb="FF000000"/>
          <bgColor rgb="FFFFFFFF"/>
        </patternFill>
      </fill>
      <alignment vertical="center"/>
    </dxf>
    <dxf>
      <fill>
        <patternFill>
          <fgColor rgb="FF000000"/>
          <bgColor rgb="FFFFFFFF"/>
        </patternFill>
      </fill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</font>
      <numFmt numFmtId="164" formatCode="_-* #,##0.00\ [$€-40C]_-;\-* #,##0.00\ [$€-40C]_-;_-* &quot;-&quot;??\ [$€-40C]_-;_-@_-"/>
      <alignment horizontal="general" vertical="center"/>
    </dxf>
    <dxf>
      <numFmt numFmtId="164" formatCode="_-* #,##0.00\ [$€-40C]_-;\-* #,##0.00\ [$€-40C]_-;_-* &quot;-&quot;??\ [$€-40C]_-;_-@_-"/>
      <fill>
        <patternFill>
          <fgColor rgb="FF000000"/>
          <bgColor rgb="FFFFFFFF"/>
        </patternFill>
      </fill>
      <alignment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</font>
      <numFmt numFmtId="164" formatCode="_-* #,##0.00\ [$€-40C]_-;\-* #,##0.00\ [$€-40C]_-;_-* &quot;-&quot;??\ [$€-40C]_-;_-@_-"/>
      <alignment horizontal="general" vertical="center"/>
    </dxf>
    <dxf>
      <numFmt numFmtId="164" formatCode="_-* #,##0.00\ [$€-40C]_-;\-* #,##0.00\ [$€-40C]_-;_-* &quot;-&quot;??\ [$€-40C]_-;_-@_-"/>
      <fill>
        <patternFill>
          <fgColor rgb="FF000000"/>
          <bgColor rgb="FFFFFFFF"/>
        </patternFill>
      </fill>
      <alignment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</font>
      <alignment horizontal="center" vertical="center"/>
    </dxf>
    <dxf>
      <numFmt numFmtId="19" formatCode="dd/mm/yyyy"/>
      <fill>
        <patternFill>
          <fgColor rgb="FF000000"/>
          <bgColor rgb="FFFFFFFF"/>
        </patternFill>
      </fill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</font>
      <alignment horizontal="left" vertical="center"/>
    </dxf>
    <dxf>
      <fill>
        <patternFill>
          <fgColor rgb="FF000000"/>
          <bgColor rgb="FFFFFFFF"/>
        </patternFill>
      </fill>
      <alignment horizontal="left" vertical="center"/>
    </dxf>
    <dxf>
      <alignment vertical="center"/>
    </dxf>
    <dxf>
      <fill>
        <patternFill>
          <fgColor rgb="FF000000"/>
          <bgColor rgb="FFFFFFFF"/>
        </patternFill>
      </fill>
      <alignment vertical="center"/>
    </dxf>
    <dxf>
      <fill>
        <patternFill>
          <fgColor rgb="FF000000"/>
          <bgColor rgb="FFFFFFFF"/>
        </patternFill>
      </fill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* #,##0.00\ [$€-40C]_-;\-* #,##0.00\ [$€-40C]_-;_-* &quot;-&quot;??\ [$€-40C]_-;_-@_-"/>
      <alignment horizontal="general" vertical="center" textRotation="0" wrapText="0" indent="0" justifyLastLine="0" shrinkToFit="0" readingOrder="0"/>
    </dxf>
    <dxf>
      <numFmt numFmtId="164" formatCode="_-* #,##0.00\ [$€-40C]_-;\-* #,##0.00\ [$€-40C]_-;_-* &quot;-&quot;??\ [$€-40C]_-;_-@_-"/>
      <fill>
        <patternFill>
          <fgColor rgb="FF000000"/>
          <bgColor rgb="FFFFFFFF"/>
        </patternFill>
      </fill>
      <alignment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* #,##0.00\ [$€-40C]_-;\-* #,##0.00\ [$€-40C]_-;_-* &quot;-&quot;??\ [$€-40C]_-;_-@_-"/>
      <alignment horizontal="general" vertical="center" textRotation="0" wrapText="0" indent="0" justifyLastLine="0" shrinkToFit="0" readingOrder="0"/>
    </dxf>
    <dxf>
      <numFmt numFmtId="164" formatCode="_-* #,##0.00\ [$€-40C]_-;\-* #,##0.00\ [$€-40C]_-;_-* &quot;-&quot;??\ [$€-40C]_-;_-@_-"/>
      <fill>
        <patternFill>
          <fgColor rgb="FF000000"/>
          <bgColor rgb="FFFFFFFF"/>
        </patternFill>
      </fill>
      <alignment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numFmt numFmtId="19" formatCode="dd/mm/yyyy"/>
      <fill>
        <patternFill>
          <fgColor rgb="FF000000"/>
          <bgColor rgb="FFFFFFFF"/>
        </patternFill>
      </fill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ill>
        <patternFill>
          <fgColor rgb="FF000000"/>
          <bgColor rgb="FFFFFFFF"/>
        </patternFill>
      </fill>
      <alignment horizontal="left" vertical="center"/>
    </dxf>
    <dxf>
      <alignment vertical="center"/>
    </dxf>
    <dxf>
      <fill>
        <patternFill>
          <fgColor rgb="FF000000"/>
          <bgColor rgb="FFFFFFFF"/>
        </patternFill>
      </fill>
      <alignment vertical="center"/>
    </dxf>
    <dxf>
      <fill>
        <patternFill>
          <fgColor rgb="FF000000"/>
          <bgColor rgb="FFFFFFFF"/>
        </patternFill>
      </fill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* #,##0.00\ [$€-40C]_-;\-* #,##0.00\ [$€-40C]_-;_-* &quot;-&quot;??\ [$€-40C]_-;_-@_-"/>
      <alignment horizontal="general" vertical="center" textRotation="0" wrapText="0" indent="0" justifyLastLine="0" shrinkToFit="0" readingOrder="0"/>
    </dxf>
    <dxf>
      <numFmt numFmtId="164" formatCode="_-* #,##0.00\ [$€-40C]_-;\-* #,##0.00\ [$€-40C]_-;_-* &quot;-&quot;??\ [$€-40C]_-;_-@_-"/>
      <fill>
        <patternFill>
          <fgColor rgb="FF000000"/>
          <bgColor rgb="FFFFFFFF"/>
        </patternFill>
      </fill>
      <alignment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* #,##0.00\ [$€-40C]_-;\-* #,##0.00\ [$€-40C]_-;_-* &quot;-&quot;??\ [$€-40C]_-;_-@_-"/>
      <alignment horizontal="general" vertical="center" textRotation="0" wrapText="0" indent="0" justifyLastLine="0" shrinkToFit="0" readingOrder="0"/>
    </dxf>
    <dxf>
      <numFmt numFmtId="164" formatCode="_-* #,##0.00\ [$€-40C]_-;\-* #,##0.00\ [$€-40C]_-;_-* &quot;-&quot;??\ [$€-40C]_-;_-@_-"/>
      <fill>
        <patternFill>
          <fgColor rgb="FF000000"/>
          <bgColor rgb="FFFFFFFF"/>
        </patternFill>
      </fill>
      <alignment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numFmt numFmtId="19" formatCode="dd/mm/yyyy"/>
      <fill>
        <patternFill>
          <fgColor rgb="FF000000"/>
          <bgColor rgb="FFFFFFFF"/>
        </patternFill>
      </fill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ill>
        <patternFill>
          <fgColor rgb="FF000000"/>
          <bgColor rgb="FFFFFFFF"/>
        </patternFill>
      </fill>
      <alignment horizontal="left" vertical="center"/>
    </dxf>
    <dxf>
      <alignment vertical="center"/>
    </dxf>
    <dxf>
      <fill>
        <patternFill>
          <fgColor rgb="FF000000"/>
          <bgColor rgb="FFFFFFFF"/>
        </patternFill>
      </fill>
      <alignment vertical="center"/>
    </dxf>
    <dxf>
      <fill>
        <patternFill>
          <fgColor rgb="FF000000"/>
          <bgColor rgb="FFFFFFFF"/>
        </patternFill>
      </fill>
      <alignment horizontal="center" vertical="center"/>
    </dxf>
    <dxf>
      <numFmt numFmtId="164" formatCode="_-* #,##0.00\ [$€-40C]_-;\-* #,##0.00\ [$€-40C]_-;_-* &quot;-&quot;??\ [$€-40C]_-;_-@_-"/>
      <alignment horizontal="general" vertical="center"/>
    </dxf>
    <dxf>
      <numFmt numFmtId="164" formatCode="_-* #,##0.00\ [$€-40C]_-;\-* #,##0.00\ [$€-40C]_-;_-* &quot;-&quot;??\ [$€-40C]_-;_-@_-"/>
      <fill>
        <patternFill>
          <fgColor rgb="FF000000"/>
          <bgColor rgb="FFFFFFFF"/>
        </patternFill>
      </fill>
      <alignment vertical="center"/>
    </dxf>
    <dxf>
      <numFmt numFmtId="164" formatCode="_-* #,##0.00\ [$€-40C]_-;\-* #,##0.00\ [$€-40C]_-;_-* &quot;-&quot;??\ [$€-40C]_-;_-@_-"/>
      <alignment horizontal="general" vertical="center"/>
    </dxf>
    <dxf>
      <numFmt numFmtId="164" formatCode="_-* #,##0.00\ [$€-40C]_-;\-* #,##0.00\ [$€-40C]_-;_-* &quot;-&quot;??\ [$€-40C]_-;_-@_-"/>
      <fill>
        <patternFill>
          <fgColor rgb="FF000000"/>
          <bgColor rgb="FFFFFFFF"/>
        </patternFill>
      </fill>
      <alignment vertical="center"/>
    </dxf>
    <dxf>
      <alignment horizontal="center" vertical="center"/>
    </dxf>
    <dxf>
      <numFmt numFmtId="19" formatCode="dd/mm/yyyy"/>
      <fill>
        <patternFill>
          <fgColor rgb="FF000000"/>
          <bgColor rgb="FFFFFFFF"/>
        </patternFill>
      </fill>
      <alignment horizontal="center" vertical="center"/>
    </dxf>
    <dxf>
      <alignment horizontal="left" vertical="center"/>
    </dxf>
    <dxf>
      <fill>
        <patternFill>
          <fgColor rgb="FF000000"/>
          <bgColor rgb="FFFFFFFF"/>
        </patternFill>
      </fill>
      <alignment horizontal="left" vertical="center"/>
    </dxf>
    <dxf>
      <alignment vertical="center"/>
    </dxf>
    <dxf>
      <fill>
        <patternFill>
          <fgColor rgb="FF000000"/>
          <bgColor rgb="FFFFFFFF"/>
        </patternFill>
      </fill>
      <alignment vertical="center"/>
    </dxf>
    <dxf>
      <fill>
        <patternFill>
          <fgColor rgb="FF000000"/>
          <bgColor rgb="FFFFFFFF"/>
        </patternFill>
      </fill>
      <alignment horizontal="center" vertical="center"/>
    </dxf>
    <dxf>
      <numFmt numFmtId="164" formatCode="_-* #,##0.00\ [$€-40C]_-;\-* #,##0.00\ [$€-40C]_-;_-* &quot;-&quot;??\ [$€-40C]_-;_-@_-"/>
      <alignment horizontal="general" vertical="center"/>
    </dxf>
    <dxf>
      <numFmt numFmtId="164" formatCode="_-* #,##0.00\ [$€-40C]_-;\-* #,##0.00\ [$€-40C]_-;_-* &quot;-&quot;??\ [$€-40C]_-;_-@_-"/>
      <fill>
        <patternFill>
          <fgColor rgb="FF000000"/>
          <bgColor rgb="FFFFFFFF"/>
        </patternFill>
      </fill>
      <alignment vertical="center"/>
    </dxf>
    <dxf>
      <numFmt numFmtId="164" formatCode="_-* #,##0.00\ [$€-40C]_-;\-* #,##0.00\ [$€-40C]_-;_-* &quot;-&quot;??\ [$€-40C]_-;_-@_-"/>
      <alignment horizontal="general" vertical="center"/>
    </dxf>
    <dxf>
      <numFmt numFmtId="164" formatCode="_-* #,##0.00\ [$€-40C]_-;\-* #,##0.00\ [$€-40C]_-;_-* &quot;-&quot;??\ [$€-40C]_-;_-@_-"/>
      <fill>
        <patternFill>
          <fgColor rgb="FF000000"/>
          <bgColor rgb="FFFFFFFF"/>
        </patternFill>
      </fill>
      <alignment vertical="center"/>
    </dxf>
    <dxf>
      <alignment horizontal="center" vertical="center"/>
    </dxf>
    <dxf>
      <numFmt numFmtId="19" formatCode="dd/mm/yyyy"/>
      <fill>
        <patternFill>
          <fgColor rgb="FF000000"/>
          <bgColor rgb="FFFFFFFF"/>
        </patternFill>
      </fill>
      <alignment horizontal="center" vertical="center"/>
    </dxf>
    <dxf>
      <alignment horizontal="left" vertical="center"/>
    </dxf>
    <dxf>
      <fill>
        <patternFill>
          <fgColor rgb="FF000000"/>
          <bgColor rgb="FFFFFFFF"/>
        </patternFill>
      </fill>
      <alignment horizontal="left" vertical="center"/>
    </dxf>
    <dxf>
      <alignment vertical="center"/>
    </dxf>
    <dxf>
      <fill>
        <patternFill>
          <fgColor rgb="FF000000"/>
          <bgColor rgb="FFFFFFFF"/>
        </patternFill>
      </fill>
      <alignment vertical="center"/>
    </dxf>
    <dxf>
      <fill>
        <patternFill>
          <fgColor rgb="FF000000"/>
          <bgColor rgb="FFFFFFFF"/>
        </patternFill>
      </fill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* #,##0.00\ [$€-40C]_-;\-* #,##0.00\ [$€-40C]_-;_-* &quot;-&quot;??\ [$€-40C]_-;_-@_-"/>
      <alignment horizontal="general" vertical="center" textRotation="0" wrapText="0" indent="0" justifyLastLine="0" shrinkToFit="0" readingOrder="0"/>
    </dxf>
    <dxf>
      <numFmt numFmtId="164" formatCode="_-* #,##0.00\ [$€-40C]_-;\-* #,##0.00\ [$€-40C]_-;_-* &quot;-&quot;??\ [$€-40C]_-;_-@_-"/>
      <fill>
        <patternFill>
          <fgColor rgb="FF000000"/>
          <bgColor rgb="FFFFFFFF"/>
        </patternFill>
      </fill>
      <alignment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* #,##0.00\ [$€-40C]_-;\-* #,##0.00\ [$€-40C]_-;_-* &quot;-&quot;??\ [$€-40C]_-;_-@_-"/>
      <alignment horizontal="general" vertical="center" textRotation="0" wrapText="0" indent="0" justifyLastLine="0" shrinkToFit="0" readingOrder="0"/>
    </dxf>
    <dxf>
      <numFmt numFmtId="164" formatCode="_-* #,##0.00\ [$€-40C]_-;\-* #,##0.00\ [$€-40C]_-;_-* &quot;-&quot;??\ [$€-40C]_-;_-@_-"/>
      <fill>
        <patternFill>
          <fgColor rgb="FF000000"/>
          <bgColor rgb="FFFFFFFF"/>
        </patternFill>
      </fill>
      <alignment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numFmt numFmtId="19" formatCode="dd/mm/yyyy"/>
      <fill>
        <patternFill>
          <fgColor rgb="FF000000"/>
          <bgColor rgb="FFFFFFFF"/>
        </patternFill>
      </fill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ill>
        <patternFill>
          <fgColor rgb="FF000000"/>
          <bgColor rgb="FFFFFFFF"/>
        </patternFill>
      </fill>
      <alignment horizontal="left" vertical="center"/>
    </dxf>
    <dxf>
      <alignment vertical="center"/>
    </dxf>
    <dxf>
      <fill>
        <patternFill>
          <fgColor rgb="FF000000"/>
          <bgColor rgb="FFFFFFFF"/>
        </patternFill>
      </fill>
      <alignment vertical="center"/>
    </dxf>
    <dxf>
      <fill>
        <patternFill>
          <fgColor rgb="FF000000"/>
          <bgColor rgb="FFFFFFFF"/>
        </patternFill>
      </fill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</font>
      <numFmt numFmtId="164" formatCode="_-* #,##0.00\ [$€-40C]_-;\-* #,##0.00\ [$€-40C]_-;_-* &quot;-&quot;??\ [$€-40C]_-;_-@_-"/>
      <alignment horizontal="general" vertical="center"/>
    </dxf>
    <dxf>
      <numFmt numFmtId="164" formatCode="_-* #,##0.00\ [$€-40C]_-;\-* #,##0.00\ [$€-40C]_-;_-* &quot;-&quot;??\ [$€-40C]_-;_-@_-"/>
      <fill>
        <patternFill>
          <fgColor rgb="FF000000"/>
          <bgColor rgb="FFFFFFFF"/>
        </patternFill>
      </fill>
      <alignment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</font>
      <numFmt numFmtId="164" formatCode="_-* #,##0.00\ [$€-40C]_-;\-* #,##0.00\ [$€-40C]_-;_-* &quot;-&quot;??\ [$€-40C]_-;_-@_-"/>
      <alignment horizontal="general" vertical="center"/>
    </dxf>
    <dxf>
      <numFmt numFmtId="164" formatCode="_-* #,##0.00\ [$€-40C]_-;\-* #,##0.00\ [$€-40C]_-;_-* &quot;-&quot;??\ [$€-40C]_-;_-@_-"/>
      <fill>
        <patternFill>
          <fgColor rgb="FF000000"/>
          <bgColor rgb="FFFFFFFF"/>
        </patternFill>
      </fill>
      <alignment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</font>
      <alignment horizontal="center" vertical="center"/>
    </dxf>
    <dxf>
      <numFmt numFmtId="19" formatCode="dd/mm/yyyy"/>
      <fill>
        <patternFill>
          <fgColor rgb="FF000000"/>
          <bgColor rgb="FFFFFFFF"/>
        </patternFill>
      </fill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</font>
      <alignment horizontal="left" vertical="center"/>
    </dxf>
    <dxf>
      <fill>
        <patternFill>
          <fgColor rgb="FF000000"/>
          <bgColor rgb="FFFFFFFF"/>
        </patternFill>
      </fill>
      <alignment horizontal="left" vertical="center"/>
    </dxf>
    <dxf>
      <alignment vertical="center"/>
    </dxf>
    <dxf>
      <fill>
        <patternFill>
          <fgColor rgb="FF000000"/>
          <bgColor rgb="FFFFFFFF"/>
        </patternFill>
      </fill>
      <alignment vertical="center"/>
    </dxf>
    <dxf>
      <fill>
        <patternFill>
          <fgColor rgb="FF000000"/>
          <bgColor rgb="FFFFFFFF"/>
        </patternFill>
      </fill>
      <alignment horizontal="center" vertical="center"/>
    </dxf>
    <dxf>
      <numFmt numFmtId="164" formatCode="_-* #,##0.00\ [$€-40C]_-;\-* #,##0.00\ [$€-40C]_-;_-* &quot;-&quot;??\ [$€-40C]_-;_-@_-"/>
      <alignment horizontal="general" vertical="center"/>
    </dxf>
    <dxf>
      <numFmt numFmtId="164" formatCode="_-* #,##0.00\ [$€-40C]_-;\-* #,##0.00\ [$€-40C]_-;_-* &quot;-&quot;??\ [$€-40C]_-;_-@_-"/>
      <fill>
        <patternFill>
          <fgColor rgb="FF000000"/>
          <bgColor rgb="FFFFFFFF"/>
        </patternFill>
      </fill>
      <alignment vertical="center"/>
    </dxf>
    <dxf>
      <numFmt numFmtId="164" formatCode="_-* #,##0.00\ [$€-40C]_-;\-* #,##0.00\ [$€-40C]_-;_-* &quot;-&quot;??\ [$€-40C]_-;_-@_-"/>
      <alignment horizontal="general" vertical="center"/>
    </dxf>
    <dxf>
      <numFmt numFmtId="164" formatCode="_-* #,##0.00\ [$€-40C]_-;\-* #,##0.00\ [$€-40C]_-;_-* &quot;-&quot;??\ [$€-40C]_-;_-@_-"/>
      <fill>
        <patternFill>
          <fgColor rgb="FF000000"/>
          <bgColor rgb="FFFFFFFF"/>
        </patternFill>
      </fill>
      <alignment vertical="center"/>
    </dxf>
    <dxf>
      <alignment horizontal="center" vertical="center"/>
    </dxf>
    <dxf>
      <numFmt numFmtId="19" formatCode="dd/mm/yyyy"/>
      <fill>
        <patternFill>
          <fgColor rgb="FF000000"/>
          <bgColor rgb="FFFFFFFF"/>
        </patternFill>
      </fill>
      <alignment horizontal="center" vertical="center"/>
    </dxf>
    <dxf>
      <alignment horizontal="left" vertical="center"/>
    </dxf>
    <dxf>
      <fill>
        <patternFill>
          <fgColor rgb="FF000000"/>
          <bgColor rgb="FFFFFFFF"/>
        </patternFill>
      </fill>
      <alignment horizontal="left" vertical="center"/>
    </dxf>
    <dxf>
      <alignment vertical="center"/>
    </dxf>
    <dxf>
      <fill>
        <patternFill>
          <fgColor rgb="FF000000"/>
          <bgColor rgb="FFFFFFFF"/>
        </patternFill>
      </fill>
      <alignment vertical="center"/>
    </dxf>
    <dxf>
      <fill>
        <patternFill>
          <fgColor rgb="FF000000"/>
          <bgColor rgb="FFFFFFFF"/>
        </patternFill>
      </fill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</font>
      <numFmt numFmtId="164" formatCode="_-* #,##0.00\ [$€-40C]_-;\-* #,##0.00\ [$€-40C]_-;_-* &quot;-&quot;??\ [$€-40C]_-;_-@_-"/>
      <alignment horizontal="general" vertical="center"/>
    </dxf>
    <dxf>
      <numFmt numFmtId="164" formatCode="_-* #,##0.00\ [$€-40C]_-;\-* #,##0.00\ [$€-40C]_-;_-* &quot;-&quot;??\ [$€-40C]_-;_-@_-"/>
      <fill>
        <patternFill>
          <fgColor rgb="FF000000"/>
          <bgColor rgb="FFFFFFFF"/>
        </patternFill>
      </fill>
      <alignment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</font>
      <numFmt numFmtId="164" formatCode="_-* #,##0.00\ [$€-40C]_-;\-* #,##0.00\ [$€-40C]_-;_-* &quot;-&quot;??\ [$€-40C]_-;_-@_-"/>
      <alignment horizontal="general" vertical="center"/>
    </dxf>
    <dxf>
      <numFmt numFmtId="164" formatCode="_-* #,##0.00\ [$€-40C]_-;\-* #,##0.00\ [$€-40C]_-;_-* &quot;-&quot;??\ [$€-40C]_-;_-@_-"/>
      <fill>
        <patternFill>
          <fgColor rgb="FF000000"/>
          <bgColor rgb="FFFFFFFF"/>
        </patternFill>
      </fill>
      <alignment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</font>
      <alignment horizontal="center" vertical="center"/>
    </dxf>
    <dxf>
      <numFmt numFmtId="19" formatCode="dd/mm/yyyy"/>
      <fill>
        <patternFill>
          <fgColor rgb="FF000000"/>
          <bgColor rgb="FFFFFFFF"/>
        </patternFill>
      </fill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</font>
      <alignment horizontal="left" vertical="center"/>
    </dxf>
    <dxf>
      <fill>
        <patternFill>
          <fgColor rgb="FF000000"/>
          <bgColor rgb="FFFFFFFF"/>
        </patternFill>
      </fill>
      <alignment horizontal="left" vertical="center"/>
    </dxf>
    <dxf>
      <alignment vertical="center"/>
    </dxf>
    <dxf>
      <fill>
        <patternFill>
          <fgColor rgb="FF000000"/>
          <bgColor rgb="FFFFFFFF"/>
        </patternFill>
      </fill>
      <alignment vertical="center"/>
    </dxf>
    <dxf>
      <fill>
        <patternFill>
          <fgColor rgb="FF000000"/>
          <bgColor rgb="FFFFFFFF"/>
        </patternFill>
      </fill>
      <alignment horizontal="center" vertical="center"/>
    </dxf>
    <dxf>
      <numFmt numFmtId="164" formatCode="_-* #,##0.00\ [$€-40C]_-;\-* #,##0.00\ [$€-40C]_-;_-* &quot;-&quot;??\ [$€-40C]_-;_-@_-"/>
      <alignment horizontal="general" vertical="center"/>
    </dxf>
    <dxf>
      <numFmt numFmtId="164" formatCode="_-* #,##0.00\ [$€-40C]_-;\-* #,##0.00\ [$€-40C]_-;_-* &quot;-&quot;??\ [$€-40C]_-;_-@_-"/>
      <fill>
        <patternFill>
          <fgColor rgb="FF000000"/>
          <bgColor rgb="FFFFFFFF"/>
        </patternFill>
      </fill>
      <alignment vertical="center"/>
    </dxf>
    <dxf>
      <numFmt numFmtId="164" formatCode="_-* #,##0.00\ [$€-40C]_-;\-* #,##0.00\ [$€-40C]_-;_-* &quot;-&quot;??\ [$€-40C]_-;_-@_-"/>
      <alignment horizontal="general" vertical="center"/>
    </dxf>
    <dxf>
      <numFmt numFmtId="164" formatCode="_-* #,##0.00\ [$€-40C]_-;\-* #,##0.00\ [$€-40C]_-;_-* &quot;-&quot;??\ [$€-40C]_-;_-@_-"/>
      <fill>
        <patternFill>
          <fgColor rgb="FF000000"/>
          <bgColor rgb="FFFFFFFF"/>
        </patternFill>
      </fill>
      <alignment vertical="center"/>
    </dxf>
    <dxf>
      <alignment horizontal="center" vertical="center"/>
    </dxf>
    <dxf>
      <numFmt numFmtId="19" formatCode="dd/mm/yyyy"/>
      <fill>
        <patternFill>
          <fgColor rgb="FF000000"/>
          <bgColor rgb="FFFFFFFF"/>
        </patternFill>
      </fill>
      <alignment horizontal="center" vertical="center"/>
    </dxf>
    <dxf>
      <alignment horizontal="left" vertical="center"/>
    </dxf>
    <dxf>
      <fill>
        <patternFill>
          <fgColor rgb="FF000000"/>
          <bgColor rgb="FFFFFFFF"/>
        </patternFill>
      </fill>
      <alignment horizontal="left" vertical="center"/>
    </dxf>
    <dxf>
      <alignment vertical="center"/>
    </dxf>
    <dxf>
      <fill>
        <patternFill>
          <fgColor rgb="FF000000"/>
          <bgColor rgb="FFFFFFFF"/>
        </patternFill>
      </fill>
      <alignment vertical="center"/>
    </dxf>
    <dxf>
      <fill>
        <patternFill>
          <fgColor rgb="FF000000"/>
          <bgColor rgb="FFFFFFFF"/>
        </patternFill>
      </fill>
      <alignment horizontal="center" vertical="center"/>
    </dxf>
    <dxf>
      <numFmt numFmtId="164" formatCode="_-* #,##0.00\ [$€-40C]_-;\-* #,##0.00\ [$€-40C]_-;_-* &quot;-&quot;??\ [$€-40C]_-;_-@_-"/>
      <alignment horizontal="general" vertical="center"/>
    </dxf>
    <dxf>
      <numFmt numFmtId="164" formatCode="_-* #,##0.00\ [$€-40C]_-;\-* #,##0.00\ [$€-40C]_-;_-* &quot;-&quot;??\ [$€-40C]_-;_-@_-"/>
      <fill>
        <patternFill>
          <fgColor rgb="FF000000"/>
          <bgColor rgb="FFFFFFFF"/>
        </patternFill>
      </fill>
      <alignment vertical="center"/>
    </dxf>
    <dxf>
      <numFmt numFmtId="164" formatCode="_-* #,##0.00\ [$€-40C]_-;\-* #,##0.00\ [$€-40C]_-;_-* &quot;-&quot;??\ [$€-40C]_-;_-@_-"/>
      <alignment horizontal="general" vertical="center"/>
    </dxf>
    <dxf>
      <numFmt numFmtId="164" formatCode="_-* #,##0.00\ [$€-40C]_-;\-* #,##0.00\ [$€-40C]_-;_-* &quot;-&quot;??\ [$€-40C]_-;_-@_-"/>
      <fill>
        <patternFill>
          <fgColor rgb="FF000000"/>
          <bgColor rgb="FFFFFFFF"/>
        </patternFill>
      </fill>
      <alignment vertical="center"/>
    </dxf>
    <dxf>
      <alignment horizontal="center" vertical="center"/>
    </dxf>
    <dxf>
      <numFmt numFmtId="19" formatCode="dd/mm/yyyy"/>
      <fill>
        <patternFill>
          <fgColor rgb="FF000000"/>
          <bgColor rgb="FFFFFFFF"/>
        </patternFill>
      </fill>
      <alignment horizontal="center" vertical="center"/>
    </dxf>
    <dxf>
      <alignment horizontal="left" vertical="center"/>
    </dxf>
    <dxf>
      <fill>
        <patternFill>
          <fgColor rgb="FF000000"/>
          <bgColor rgb="FFFFFFFF"/>
        </patternFill>
      </fill>
      <alignment horizontal="left" vertical="center"/>
    </dxf>
    <dxf>
      <alignment vertical="center"/>
    </dxf>
    <dxf>
      <fill>
        <patternFill>
          <fgColor rgb="FF000000"/>
          <bgColor rgb="FFFFFFFF"/>
        </patternFill>
      </fill>
      <alignment vertical="center"/>
    </dxf>
    <dxf>
      <fill>
        <patternFill>
          <fgColor rgb="FF000000"/>
          <bgColor rgb="FFFFFFFF"/>
        </patternFill>
      </fill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</font>
      <numFmt numFmtId="164" formatCode="_-* #,##0.00\ [$€-40C]_-;\-* #,##0.00\ [$€-40C]_-;_-* &quot;-&quot;??\ [$€-40C]_-;_-@_-"/>
      <alignment horizontal="general" vertical="center"/>
    </dxf>
    <dxf>
      <numFmt numFmtId="164" formatCode="_-* #,##0.00\ [$€-40C]_-;\-* #,##0.00\ [$€-40C]_-;_-* &quot;-&quot;??\ [$€-40C]_-;_-@_-"/>
      <fill>
        <patternFill>
          <fgColor rgb="FF000000"/>
          <bgColor rgb="FFFFFFFF"/>
        </patternFill>
      </fill>
      <alignment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</font>
      <numFmt numFmtId="164" formatCode="_-* #,##0.00\ [$€-40C]_-;\-* #,##0.00\ [$€-40C]_-;_-* &quot;-&quot;??\ [$€-40C]_-;_-@_-"/>
      <alignment horizontal="general" vertical="center"/>
    </dxf>
    <dxf>
      <numFmt numFmtId="164" formatCode="_-* #,##0.00\ [$€-40C]_-;\-* #,##0.00\ [$€-40C]_-;_-* &quot;-&quot;??\ [$€-40C]_-;_-@_-"/>
      <fill>
        <patternFill>
          <fgColor rgb="FF000000"/>
          <bgColor rgb="FFFFFFFF"/>
        </patternFill>
      </fill>
      <alignment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</font>
      <alignment horizontal="center" vertical="center"/>
    </dxf>
    <dxf>
      <numFmt numFmtId="19" formatCode="dd/mm/yyyy"/>
      <fill>
        <patternFill>
          <fgColor rgb="FF000000"/>
          <bgColor rgb="FFFFFFFF"/>
        </patternFill>
      </fill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</font>
      <alignment horizontal="left" vertical="center"/>
    </dxf>
    <dxf>
      <fill>
        <patternFill>
          <fgColor rgb="FF000000"/>
          <bgColor rgb="FFFFFFFF"/>
        </patternFill>
      </fill>
      <alignment horizontal="left" vertical="center"/>
    </dxf>
    <dxf>
      <alignment vertical="center"/>
    </dxf>
    <dxf>
      <fill>
        <patternFill>
          <fgColor rgb="FF000000"/>
          <bgColor rgb="FFFFFFFF"/>
        </patternFill>
      </fill>
      <alignment vertical="center"/>
    </dxf>
    <dxf>
      <fill>
        <patternFill>
          <fgColor rgb="FF000000"/>
          <bgColor rgb="FFFFFFFF"/>
        </patternFill>
      </fill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* #,##0.00\ [$€-40C]_-;\-* #,##0.00\ [$€-40C]_-;_-* &quot;-&quot;??\ [$€-40C]_-;_-@_-"/>
      <alignment horizontal="general" vertical="center" textRotation="0" wrapText="0" indent="0" justifyLastLine="0" shrinkToFit="0" readingOrder="0"/>
    </dxf>
    <dxf>
      <numFmt numFmtId="164" formatCode="_-* #,##0.00\ [$€-40C]_-;\-* #,##0.00\ [$€-40C]_-;_-* &quot;-&quot;??\ [$€-40C]_-;_-@_-"/>
      <fill>
        <patternFill>
          <fgColor rgb="FF000000"/>
          <bgColor rgb="FFFFFFFF"/>
        </patternFill>
      </fill>
      <alignment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* #,##0.00\ [$€-40C]_-;\-* #,##0.00\ [$€-40C]_-;_-* &quot;-&quot;??\ [$€-40C]_-;_-@_-"/>
      <alignment horizontal="general" vertical="center" textRotation="0" wrapText="0" indent="0" justifyLastLine="0" shrinkToFit="0" readingOrder="0"/>
    </dxf>
    <dxf>
      <numFmt numFmtId="164" formatCode="_-* #,##0.00\ [$€-40C]_-;\-* #,##0.00\ [$€-40C]_-;_-* &quot;-&quot;??\ [$€-40C]_-;_-@_-"/>
      <fill>
        <patternFill>
          <fgColor rgb="FF000000"/>
          <bgColor rgb="FFFFFFFF"/>
        </patternFill>
      </fill>
      <alignment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numFmt numFmtId="19" formatCode="dd/mm/yyyy"/>
      <fill>
        <patternFill>
          <fgColor rgb="FF000000"/>
          <bgColor rgb="FFFFFFFF"/>
        </patternFill>
      </fill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ill>
        <patternFill>
          <fgColor rgb="FF000000"/>
          <bgColor rgb="FFFFFFFF"/>
        </patternFill>
      </fill>
      <alignment horizontal="left" vertical="center"/>
    </dxf>
    <dxf>
      <alignment vertical="center"/>
    </dxf>
    <dxf>
      <fill>
        <patternFill>
          <fgColor rgb="FF000000"/>
          <bgColor rgb="FFFFFFFF"/>
        </patternFill>
      </fill>
      <alignment vertical="center"/>
    </dxf>
    <dxf>
      <fill>
        <patternFill>
          <fgColor rgb="FF000000"/>
          <bgColor rgb="FFFFFFFF"/>
        </patternFill>
      </fill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</font>
      <numFmt numFmtId="164" formatCode="_-* #,##0.00\ [$€-40C]_-;\-* #,##0.00\ [$€-40C]_-;_-* &quot;-&quot;??\ [$€-40C]_-;_-@_-"/>
      <alignment horizontal="general" vertical="center"/>
    </dxf>
    <dxf>
      <numFmt numFmtId="164" formatCode="_-* #,##0.00\ [$€-40C]_-;\-* #,##0.00\ [$€-40C]_-;_-* &quot;-&quot;??\ [$€-40C]_-;_-@_-"/>
      <fill>
        <patternFill>
          <fgColor rgb="FF000000"/>
          <bgColor rgb="FFFFFFFF"/>
        </patternFill>
      </fill>
      <alignment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</font>
      <numFmt numFmtId="164" formatCode="_-* #,##0.00\ [$€-40C]_-;\-* #,##0.00\ [$€-40C]_-;_-* &quot;-&quot;??\ [$€-40C]_-;_-@_-"/>
      <alignment horizontal="general" vertical="center"/>
    </dxf>
    <dxf>
      <numFmt numFmtId="164" formatCode="_-* #,##0.00\ [$€-40C]_-;\-* #,##0.00\ [$€-40C]_-;_-* &quot;-&quot;??\ [$€-40C]_-;_-@_-"/>
      <fill>
        <patternFill>
          <fgColor rgb="FF000000"/>
          <bgColor rgb="FFFFFFFF"/>
        </patternFill>
      </fill>
      <alignment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</font>
      <alignment horizontal="center" vertical="center"/>
    </dxf>
    <dxf>
      <numFmt numFmtId="19" formatCode="dd/mm/yyyy"/>
      <fill>
        <patternFill>
          <fgColor rgb="FF000000"/>
          <bgColor rgb="FFFFFFFF"/>
        </patternFill>
      </fill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</font>
      <alignment horizontal="left" vertical="center"/>
    </dxf>
    <dxf>
      <fill>
        <patternFill>
          <fgColor rgb="FF000000"/>
          <bgColor rgb="FFFFFFFF"/>
        </patternFill>
      </fill>
      <alignment horizontal="left" vertical="center"/>
    </dxf>
    <dxf>
      <alignment vertical="center"/>
    </dxf>
    <dxf>
      <fill>
        <patternFill>
          <fgColor rgb="FF000000"/>
          <bgColor rgb="FFFFFFFF"/>
        </patternFill>
      </fill>
      <alignment vertical="center"/>
    </dxf>
    <dxf>
      <fill>
        <patternFill>
          <fgColor rgb="FF000000"/>
          <bgColor rgb="FFFFFFFF"/>
        </patternFill>
      </fill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* #,##0.00\ [$€-40C]_-;\-* #,##0.00\ [$€-40C]_-;_-* &quot;-&quot;??\ [$€-40C]_-;_-@_-"/>
      <alignment horizontal="general" vertical="center" textRotation="0" wrapText="0" indent="0" justifyLastLine="0" shrinkToFit="0" readingOrder="0"/>
    </dxf>
    <dxf>
      <numFmt numFmtId="164" formatCode="_-* #,##0.00\ [$€-40C]_-;\-* #,##0.00\ [$€-40C]_-;_-* &quot;-&quot;??\ [$€-40C]_-;_-@_-"/>
      <fill>
        <patternFill>
          <fgColor rgb="FF000000"/>
          <bgColor rgb="FFFFFFFF"/>
        </patternFill>
      </fill>
      <alignment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* #,##0.00\ [$€-40C]_-;\-* #,##0.00\ [$€-40C]_-;_-* &quot;-&quot;??\ [$€-40C]_-;_-@_-"/>
      <alignment horizontal="general" vertical="center" textRotation="0" wrapText="0" indent="0" justifyLastLine="0" shrinkToFit="0" readingOrder="0"/>
    </dxf>
    <dxf>
      <numFmt numFmtId="164" formatCode="_-* #,##0.00\ [$€-40C]_-;\-* #,##0.00\ [$€-40C]_-;_-* &quot;-&quot;??\ [$€-40C]_-;_-@_-"/>
      <fill>
        <patternFill>
          <fgColor rgb="FF000000"/>
          <bgColor rgb="FFFFFFFF"/>
        </patternFill>
      </fill>
      <alignment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numFmt numFmtId="19" formatCode="dd/mm/yyyy"/>
      <fill>
        <patternFill>
          <fgColor rgb="FF000000"/>
          <bgColor rgb="FFFFFFFF"/>
        </patternFill>
      </fill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ill>
        <patternFill>
          <fgColor rgb="FF000000"/>
          <bgColor rgb="FFFFFFFF"/>
        </patternFill>
      </fill>
      <alignment horizontal="left" vertical="center"/>
    </dxf>
    <dxf>
      <alignment vertical="center"/>
    </dxf>
    <dxf>
      <fill>
        <patternFill>
          <fgColor rgb="FF000000"/>
          <bgColor rgb="FFFFFFFF"/>
        </patternFill>
      </fill>
      <alignment vertical="center"/>
    </dxf>
    <dxf>
      <fill>
        <patternFill>
          <fgColor rgb="FF000000"/>
          <bgColor rgb="FFFFFFFF"/>
        </patternFill>
      </fill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</font>
      <numFmt numFmtId="164" formatCode="_-* #,##0.00\ [$€-40C]_-;\-* #,##0.00\ [$€-40C]_-;_-* &quot;-&quot;??\ [$€-40C]_-;_-@_-"/>
      <alignment horizontal="general" vertical="center"/>
    </dxf>
    <dxf>
      <numFmt numFmtId="164" formatCode="_-* #,##0.00\ [$€-40C]_-;\-* #,##0.00\ [$€-40C]_-;_-* &quot;-&quot;??\ [$€-40C]_-;_-@_-"/>
      <fill>
        <patternFill>
          <fgColor rgb="FF000000"/>
          <bgColor rgb="FFFFFFFF"/>
        </patternFill>
      </fill>
      <alignment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</font>
      <numFmt numFmtId="164" formatCode="_-* #,##0.00\ [$€-40C]_-;\-* #,##0.00\ [$€-40C]_-;_-* &quot;-&quot;??\ [$€-40C]_-;_-@_-"/>
      <alignment horizontal="general" vertical="center"/>
    </dxf>
    <dxf>
      <numFmt numFmtId="164" formatCode="_-* #,##0.00\ [$€-40C]_-;\-* #,##0.00\ [$€-40C]_-;_-* &quot;-&quot;??\ [$€-40C]_-;_-@_-"/>
      <fill>
        <patternFill>
          <fgColor rgb="FF000000"/>
          <bgColor rgb="FFFFFFFF"/>
        </patternFill>
      </fill>
      <alignment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</font>
      <alignment horizontal="center" vertical="center"/>
    </dxf>
    <dxf>
      <numFmt numFmtId="19" formatCode="dd/mm/yyyy"/>
      <fill>
        <patternFill>
          <fgColor rgb="FF000000"/>
          <bgColor rgb="FFFFFFFF"/>
        </patternFill>
      </fill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</font>
      <alignment horizontal="left" vertical="center"/>
    </dxf>
    <dxf>
      <fill>
        <patternFill>
          <fgColor rgb="FF000000"/>
          <bgColor rgb="FFFFFFFF"/>
        </patternFill>
      </fill>
      <alignment horizontal="left" vertical="center"/>
    </dxf>
    <dxf>
      <alignment vertical="center"/>
    </dxf>
    <dxf>
      <fill>
        <patternFill>
          <fgColor rgb="FF000000"/>
          <bgColor rgb="FFFFFFFF"/>
        </patternFill>
      </fill>
      <alignment vertical="center"/>
    </dxf>
    <dxf>
      <fill>
        <patternFill>
          <fgColor rgb="FF000000"/>
          <bgColor rgb="FFFFFFFF"/>
        </patternFill>
      </fill>
      <alignment horizontal="center" vertical="center"/>
    </dxf>
    <dxf>
      <numFmt numFmtId="164" formatCode="_-* #,##0.00\ [$€-40C]_-;\-* #,##0.00\ [$€-40C]_-;_-* &quot;-&quot;??\ [$€-40C]_-;_-@_-"/>
      <alignment horizontal="general" vertical="center"/>
    </dxf>
    <dxf>
      <numFmt numFmtId="164" formatCode="_-* #,##0.00\ [$€-40C]_-;\-* #,##0.00\ [$€-40C]_-;_-* &quot;-&quot;??\ [$€-40C]_-;_-@_-"/>
      <fill>
        <patternFill>
          <fgColor rgb="FF000000"/>
          <bgColor rgb="FFFFFFFF"/>
        </patternFill>
      </fill>
      <alignment vertical="center"/>
    </dxf>
    <dxf>
      <numFmt numFmtId="164" formatCode="_-* #,##0.00\ [$€-40C]_-;\-* #,##0.00\ [$€-40C]_-;_-* &quot;-&quot;??\ [$€-40C]_-;_-@_-"/>
      <alignment horizontal="general" vertical="center"/>
    </dxf>
    <dxf>
      <numFmt numFmtId="164" formatCode="_-* #,##0.00\ [$€-40C]_-;\-* #,##0.00\ [$€-40C]_-;_-* &quot;-&quot;??\ [$€-40C]_-;_-@_-"/>
      <fill>
        <patternFill>
          <fgColor rgb="FF000000"/>
          <bgColor rgb="FFFFFFFF"/>
        </patternFill>
      </fill>
      <alignment vertical="center"/>
    </dxf>
    <dxf>
      <alignment horizontal="center" vertical="center"/>
    </dxf>
    <dxf>
      <numFmt numFmtId="19" formatCode="dd/mm/yyyy"/>
      <fill>
        <patternFill>
          <fgColor rgb="FF000000"/>
          <bgColor rgb="FFFFFFFF"/>
        </patternFill>
      </fill>
      <alignment horizontal="center" vertical="center"/>
    </dxf>
    <dxf>
      <alignment horizontal="left" vertical="center"/>
    </dxf>
    <dxf>
      <fill>
        <patternFill>
          <fgColor rgb="FF000000"/>
          <bgColor rgb="FFFFFFFF"/>
        </patternFill>
      </fill>
      <alignment horizontal="left" vertical="center"/>
    </dxf>
    <dxf>
      <alignment vertical="center"/>
    </dxf>
    <dxf>
      <fill>
        <patternFill>
          <fgColor rgb="FF000000"/>
          <bgColor rgb="FFFFFFFF"/>
        </patternFill>
      </fill>
      <alignment vertical="center"/>
    </dxf>
    <dxf>
      <fill>
        <patternFill>
          <fgColor rgb="FF000000"/>
          <bgColor rgb="FFFFFFFF"/>
        </patternFill>
      </fill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* #,##0.00\ [$€-40C]_-;\-* #,##0.00\ [$€-40C]_-;_-* &quot;-&quot;??\ [$€-40C]_-;_-@_-"/>
      <alignment horizontal="general" vertical="center" textRotation="0" wrapText="0" indent="0" justifyLastLine="0" shrinkToFit="0" readingOrder="0"/>
    </dxf>
    <dxf>
      <numFmt numFmtId="164" formatCode="_-* #,##0.00\ [$€-40C]_-;\-* #,##0.00\ [$€-40C]_-;_-* &quot;-&quot;??\ [$€-40C]_-;_-@_-"/>
      <fill>
        <patternFill>
          <fgColor rgb="FF000000"/>
          <bgColor rgb="FFFFFFFF"/>
        </patternFill>
      </fill>
      <alignment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* #,##0.00\ [$€-40C]_-;\-* #,##0.00\ [$€-40C]_-;_-* &quot;-&quot;??\ [$€-40C]_-;_-@_-"/>
      <alignment horizontal="general" vertical="center" textRotation="0" wrapText="0" indent="0" justifyLastLine="0" shrinkToFit="0" readingOrder="0"/>
    </dxf>
    <dxf>
      <numFmt numFmtId="164" formatCode="_-* #,##0.00\ [$€-40C]_-;\-* #,##0.00\ [$€-40C]_-;_-* &quot;-&quot;??\ [$€-40C]_-;_-@_-"/>
      <fill>
        <patternFill>
          <fgColor rgb="FF000000"/>
          <bgColor rgb="FFFFFFFF"/>
        </patternFill>
      </fill>
      <alignment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numFmt numFmtId="19" formatCode="dd/mm/yyyy"/>
      <fill>
        <patternFill>
          <fgColor rgb="FF000000"/>
          <bgColor rgb="FFFFFFFF"/>
        </patternFill>
      </fill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ill>
        <patternFill>
          <fgColor rgb="FF000000"/>
          <bgColor rgb="FFFFFFFF"/>
        </patternFill>
      </fill>
      <alignment horizontal="left" vertical="center"/>
    </dxf>
    <dxf>
      <alignment vertical="center"/>
    </dxf>
    <dxf>
      <fill>
        <patternFill>
          <fgColor rgb="FF000000"/>
          <bgColor rgb="FFFFFFFF"/>
        </patternFill>
      </fill>
      <alignment vertical="center"/>
    </dxf>
    <dxf>
      <fill>
        <patternFill>
          <fgColor rgb="FF000000"/>
          <bgColor rgb="FFFFFFFF"/>
        </patternFill>
      </fill>
      <alignment horizontal="center" vertical="center"/>
    </dxf>
    <dxf>
      <numFmt numFmtId="164" formatCode="_-* #,##0.00\ [$€-40C]_-;\-* #,##0.00\ [$€-40C]_-;_-* &quot;-&quot;??\ [$€-40C]_-;_-@_-"/>
      <alignment horizontal="general" vertical="center"/>
    </dxf>
    <dxf>
      <numFmt numFmtId="164" formatCode="_-* #,##0.00\ [$€-40C]_-;\-* #,##0.00\ [$€-40C]_-;_-* &quot;-&quot;??\ [$€-40C]_-;_-@_-"/>
      <fill>
        <patternFill>
          <fgColor rgb="FF000000"/>
          <bgColor rgb="FFFFFFFF"/>
        </patternFill>
      </fill>
      <alignment vertical="center"/>
    </dxf>
    <dxf>
      <numFmt numFmtId="164" formatCode="_-* #,##0.00\ [$€-40C]_-;\-* #,##0.00\ [$€-40C]_-;_-* &quot;-&quot;??\ [$€-40C]_-;_-@_-"/>
      <alignment horizontal="general" vertical="center"/>
    </dxf>
    <dxf>
      <numFmt numFmtId="164" formatCode="_-* #,##0.00\ [$€-40C]_-;\-* #,##0.00\ [$€-40C]_-;_-* &quot;-&quot;??\ [$€-40C]_-;_-@_-"/>
      <fill>
        <patternFill>
          <fgColor rgb="FF000000"/>
          <bgColor rgb="FFFFFFFF"/>
        </patternFill>
      </fill>
      <alignment vertical="center"/>
    </dxf>
    <dxf>
      <alignment horizontal="center" vertical="center"/>
    </dxf>
    <dxf>
      <numFmt numFmtId="19" formatCode="dd/mm/yyyy"/>
      <fill>
        <patternFill>
          <fgColor rgb="FF000000"/>
          <bgColor rgb="FFFFFFFF"/>
        </patternFill>
      </fill>
      <alignment horizontal="center" vertical="center"/>
    </dxf>
    <dxf>
      <alignment horizontal="left" vertical="center"/>
    </dxf>
    <dxf>
      <fill>
        <patternFill>
          <fgColor rgb="FF000000"/>
          <bgColor rgb="FFFFFFFF"/>
        </patternFill>
      </fill>
      <alignment horizontal="left" vertical="center"/>
    </dxf>
    <dxf>
      <alignment vertical="center"/>
    </dxf>
    <dxf>
      <fill>
        <patternFill>
          <fgColor rgb="FF000000"/>
          <bgColor rgb="FFFFFFFF"/>
        </patternFill>
      </fill>
      <alignment vertical="center"/>
    </dxf>
    <dxf>
      <fill>
        <patternFill>
          <fgColor rgb="FF000000"/>
          <bgColor rgb="FFFFFFFF"/>
        </patternFill>
      </fill>
      <alignment horizontal="center" vertical="center"/>
    </dxf>
    <dxf>
      <numFmt numFmtId="164" formatCode="_-* #,##0.00\ [$€-40C]_-;\-* #,##0.00\ [$€-40C]_-;_-* &quot;-&quot;??\ [$€-40C]_-;_-@_-"/>
      <alignment horizontal="general" vertical="center"/>
    </dxf>
    <dxf>
      <numFmt numFmtId="164" formatCode="_-* #,##0.00\ [$€-40C]_-;\-* #,##0.00\ [$€-40C]_-;_-* &quot;-&quot;??\ [$€-40C]_-;_-@_-"/>
      <fill>
        <patternFill>
          <fgColor rgb="FF000000"/>
          <bgColor rgb="FFFFFFFF"/>
        </patternFill>
      </fill>
      <alignment vertical="center"/>
    </dxf>
    <dxf>
      <numFmt numFmtId="164" formatCode="_-* #,##0.00\ [$€-40C]_-;\-* #,##0.00\ [$€-40C]_-;_-* &quot;-&quot;??\ [$€-40C]_-;_-@_-"/>
      <alignment horizontal="general" vertical="center"/>
    </dxf>
    <dxf>
      <numFmt numFmtId="164" formatCode="_-* #,##0.00\ [$€-40C]_-;\-* #,##0.00\ [$€-40C]_-;_-* &quot;-&quot;??\ [$€-40C]_-;_-@_-"/>
      <fill>
        <patternFill>
          <fgColor rgb="FF000000"/>
          <bgColor rgb="FFFFFFFF"/>
        </patternFill>
      </fill>
      <alignment vertical="center"/>
    </dxf>
    <dxf>
      <alignment horizontal="center" vertical="center"/>
    </dxf>
    <dxf>
      <numFmt numFmtId="19" formatCode="dd/mm/yyyy"/>
      <fill>
        <patternFill>
          <fgColor rgb="FF000000"/>
          <bgColor rgb="FFFFFFFF"/>
        </patternFill>
      </fill>
      <alignment horizontal="center" vertical="center"/>
    </dxf>
    <dxf>
      <alignment horizontal="left" vertical="center"/>
    </dxf>
    <dxf>
      <fill>
        <patternFill>
          <fgColor rgb="FF000000"/>
          <bgColor rgb="FFFFFFFF"/>
        </patternFill>
      </fill>
      <alignment horizontal="left" vertical="center"/>
    </dxf>
    <dxf>
      <alignment vertical="center"/>
    </dxf>
    <dxf>
      <fill>
        <patternFill>
          <fgColor rgb="FF000000"/>
          <bgColor rgb="FFFFFFFF"/>
        </patternFill>
      </fill>
      <alignment vertical="center"/>
    </dxf>
    <dxf>
      <fill>
        <patternFill>
          <fgColor rgb="FF000000"/>
          <bgColor rgb="FFFFFFFF"/>
        </patternFill>
      </fill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* #,##0.00\ [$€-40C]_-;\-* #,##0.00\ [$€-40C]_-;_-* &quot;-&quot;??\ [$€-40C]_-;_-@_-"/>
      <alignment horizontal="general" vertical="center" textRotation="0" wrapText="0" indent="0" justifyLastLine="0" shrinkToFit="0" readingOrder="0"/>
    </dxf>
    <dxf>
      <numFmt numFmtId="164" formatCode="_-* #,##0.00\ [$€-40C]_-;\-* #,##0.00\ [$€-40C]_-;_-* &quot;-&quot;??\ [$€-40C]_-;_-@_-"/>
      <fill>
        <patternFill>
          <fgColor rgb="FF000000"/>
          <bgColor rgb="FFFFFFFF"/>
        </patternFill>
      </fill>
      <alignment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* #,##0.00\ [$€-40C]_-;\-* #,##0.00\ [$€-40C]_-;_-* &quot;-&quot;??\ [$€-40C]_-;_-@_-"/>
      <alignment horizontal="general" vertical="center" textRotation="0" wrapText="0" indent="0" justifyLastLine="0" shrinkToFit="0" readingOrder="0"/>
    </dxf>
    <dxf>
      <numFmt numFmtId="164" formatCode="_-* #,##0.00\ [$€-40C]_-;\-* #,##0.00\ [$€-40C]_-;_-* &quot;-&quot;??\ [$€-40C]_-;_-@_-"/>
      <fill>
        <patternFill>
          <fgColor rgb="FF000000"/>
          <bgColor rgb="FFFFFFFF"/>
        </patternFill>
      </fill>
      <alignment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numFmt numFmtId="19" formatCode="dd/mm/yyyy"/>
      <fill>
        <patternFill>
          <fgColor rgb="FF000000"/>
          <bgColor rgb="FFFFFFFF"/>
        </patternFill>
      </fill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ill>
        <patternFill>
          <fgColor rgb="FF000000"/>
          <bgColor rgb="FFFFFFFF"/>
        </patternFill>
      </fill>
      <alignment horizontal="left" vertical="center"/>
    </dxf>
    <dxf>
      <alignment vertical="center"/>
    </dxf>
    <dxf>
      <fill>
        <patternFill>
          <fgColor rgb="FF000000"/>
          <bgColor rgb="FFFFFFFF"/>
        </patternFill>
      </fill>
      <alignment vertical="center"/>
    </dxf>
    <dxf>
      <fill>
        <patternFill>
          <fgColor rgb="FF000000"/>
          <bgColor rgb="FFFFFFFF"/>
        </patternFill>
      </fill>
      <alignment horizontal="center" vertical="center"/>
    </dxf>
    <dxf>
      <numFmt numFmtId="164" formatCode="_-* #,##0.00\ [$€-40C]_-;\-* #,##0.00\ [$€-40C]_-;_-* &quot;-&quot;??\ [$€-40C]_-;_-@_-"/>
      <alignment horizontal="general" vertical="center"/>
    </dxf>
    <dxf>
      <numFmt numFmtId="164" formatCode="_-* #,##0.00\ [$€-40C]_-;\-* #,##0.00\ [$€-40C]_-;_-* &quot;-&quot;??\ [$€-40C]_-;_-@_-"/>
      <fill>
        <patternFill>
          <fgColor rgb="FF000000"/>
          <bgColor rgb="FFFFFFFF"/>
        </patternFill>
      </fill>
      <alignment vertical="center"/>
    </dxf>
    <dxf>
      <numFmt numFmtId="164" formatCode="_-* #,##0.00\ [$€-40C]_-;\-* #,##0.00\ [$€-40C]_-;_-* &quot;-&quot;??\ [$€-40C]_-;_-@_-"/>
      <alignment horizontal="general" vertical="center"/>
    </dxf>
    <dxf>
      <numFmt numFmtId="164" formatCode="_-* #,##0.00\ [$€-40C]_-;\-* #,##0.00\ [$€-40C]_-;_-* &quot;-&quot;??\ [$€-40C]_-;_-@_-"/>
      <fill>
        <patternFill>
          <fgColor rgb="FF000000"/>
          <bgColor rgb="FFFFFFFF"/>
        </patternFill>
      </fill>
      <alignment vertical="center"/>
    </dxf>
    <dxf>
      <alignment horizontal="center" vertical="center"/>
    </dxf>
    <dxf>
      <numFmt numFmtId="19" formatCode="dd/mm/yyyy"/>
      <fill>
        <patternFill>
          <fgColor rgb="FF000000"/>
          <bgColor rgb="FFFFFFFF"/>
        </patternFill>
      </fill>
      <alignment horizontal="center" vertical="center"/>
    </dxf>
    <dxf>
      <alignment horizontal="left" vertical="center"/>
    </dxf>
    <dxf>
      <fill>
        <patternFill>
          <fgColor rgb="FF000000"/>
          <bgColor rgb="FFFFFFFF"/>
        </patternFill>
      </fill>
      <alignment horizontal="left" vertical="center"/>
    </dxf>
    <dxf>
      <alignment vertical="center"/>
    </dxf>
    <dxf>
      <fill>
        <patternFill>
          <fgColor rgb="FF000000"/>
          <bgColor rgb="FFFFFFFF"/>
        </patternFill>
      </fill>
      <alignment vertical="center"/>
    </dxf>
    <dxf>
      <fill>
        <patternFill>
          <fgColor rgb="FF000000"/>
          <bgColor rgb="FFFFFFFF"/>
        </patternFill>
      </fill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* #,##0.00\ [$€-40C]_-;\-* #,##0.00\ [$€-40C]_-;_-* &quot;-&quot;??\ [$€-40C]_-;_-@_-"/>
      <alignment horizontal="general" vertical="center" textRotation="0" wrapText="0" indent="0" justifyLastLine="0" shrinkToFit="0" readingOrder="0"/>
    </dxf>
    <dxf>
      <numFmt numFmtId="164" formatCode="_-* #,##0.00\ [$€-40C]_-;\-* #,##0.00\ [$€-40C]_-;_-* &quot;-&quot;??\ [$€-40C]_-;_-@_-"/>
      <fill>
        <patternFill>
          <fgColor rgb="FF000000"/>
          <bgColor rgb="FFFFFFFF"/>
        </patternFill>
      </fill>
      <alignment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* #,##0.00\ [$€-40C]_-;\-* #,##0.00\ [$€-40C]_-;_-* &quot;-&quot;??\ [$€-40C]_-;_-@_-"/>
      <alignment horizontal="general" vertical="center" textRotation="0" wrapText="0" indent="0" justifyLastLine="0" shrinkToFit="0" readingOrder="0"/>
    </dxf>
    <dxf>
      <numFmt numFmtId="164" formatCode="_-* #,##0.00\ [$€-40C]_-;\-* #,##0.00\ [$€-40C]_-;_-* &quot;-&quot;??\ [$€-40C]_-;_-@_-"/>
      <fill>
        <patternFill>
          <fgColor rgb="FF000000"/>
          <bgColor rgb="FFFFFFFF"/>
        </patternFill>
      </fill>
      <alignment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numFmt numFmtId="19" formatCode="dd/mm/yyyy"/>
      <fill>
        <patternFill>
          <fgColor rgb="FF000000"/>
          <bgColor rgb="FFFFFFFF"/>
        </patternFill>
      </fill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ill>
        <patternFill>
          <fgColor rgb="FF000000"/>
          <bgColor rgb="FFFFFFFF"/>
        </patternFill>
      </fill>
      <alignment horizontal="left" vertical="center"/>
    </dxf>
    <dxf>
      <alignment vertical="center"/>
    </dxf>
    <dxf>
      <fill>
        <patternFill>
          <fgColor rgb="FF000000"/>
          <bgColor rgb="FFFFFFFF"/>
        </patternFill>
      </fill>
      <alignment vertical="center"/>
    </dxf>
    <dxf>
      <fill>
        <patternFill>
          <fgColor rgb="FF000000"/>
          <bgColor rgb="FFFFFFFF"/>
        </patternFill>
      </fill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* #,##0.00\ [$€-40C]_-;\-* #,##0.00\ [$€-40C]_-;_-* &quot;-&quot;??\ [$€-40C]_-;_-@_-"/>
      <alignment horizontal="general" vertical="center" textRotation="0" wrapText="0" indent="0" justifyLastLine="0" shrinkToFit="0" readingOrder="0"/>
    </dxf>
    <dxf>
      <numFmt numFmtId="164" formatCode="_-* #,##0.00\ [$€-40C]_-;\-* #,##0.00\ [$€-40C]_-;_-* &quot;-&quot;??\ [$€-40C]_-;_-@_-"/>
      <fill>
        <patternFill>
          <fgColor rgb="FF000000"/>
          <bgColor rgb="FFFFFFFF"/>
        </patternFill>
      </fill>
      <alignment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* #,##0.00\ [$€-40C]_-;\-* #,##0.00\ [$€-40C]_-;_-* &quot;-&quot;??\ [$€-40C]_-;_-@_-"/>
      <alignment horizontal="general" vertical="center" textRotation="0" wrapText="0" indent="0" justifyLastLine="0" shrinkToFit="0" readingOrder="0"/>
    </dxf>
    <dxf>
      <numFmt numFmtId="164" formatCode="_-* #,##0.00\ [$€-40C]_-;\-* #,##0.00\ [$€-40C]_-;_-* &quot;-&quot;??\ [$€-40C]_-;_-@_-"/>
      <fill>
        <patternFill>
          <fgColor rgb="FF000000"/>
          <bgColor rgb="FFFFFFFF"/>
        </patternFill>
      </fill>
      <alignment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numFmt numFmtId="19" formatCode="dd/mm/yyyy"/>
      <fill>
        <patternFill>
          <fgColor rgb="FF000000"/>
          <bgColor rgb="FFFFFFFF"/>
        </patternFill>
      </fill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ill>
        <patternFill>
          <fgColor rgb="FF000000"/>
          <bgColor rgb="FFFFFFFF"/>
        </patternFill>
      </fill>
      <alignment horizontal="left" vertical="center"/>
    </dxf>
    <dxf>
      <alignment vertical="center"/>
    </dxf>
    <dxf>
      <fill>
        <patternFill>
          <fgColor rgb="FF000000"/>
          <bgColor rgb="FFFFFFFF"/>
        </patternFill>
      </fill>
      <alignment vertical="center"/>
    </dxf>
    <dxf>
      <fill>
        <patternFill>
          <fgColor rgb="FF000000"/>
          <bgColor rgb="FFFFFFFF"/>
        </patternFill>
      </fill>
      <alignment horizontal="center" vertical="center"/>
    </dxf>
    <dxf>
      <numFmt numFmtId="164" formatCode="_-* #,##0.00\ [$€-40C]_-;\-* #,##0.00\ [$€-40C]_-;_-* &quot;-&quot;??\ [$€-40C]_-;_-@_-"/>
      <alignment horizontal="general" vertical="center"/>
    </dxf>
    <dxf>
      <numFmt numFmtId="164" formatCode="_-* #,##0.00\ [$€-40C]_-;\-* #,##0.00\ [$€-40C]_-;_-* &quot;-&quot;??\ [$€-40C]_-;_-@_-"/>
      <fill>
        <patternFill>
          <fgColor rgb="FF000000"/>
          <bgColor rgb="FFFFFFFF"/>
        </patternFill>
      </fill>
      <alignment vertical="center"/>
    </dxf>
    <dxf>
      <numFmt numFmtId="164" formatCode="_-* #,##0.00\ [$€-40C]_-;\-* #,##0.00\ [$€-40C]_-;_-* &quot;-&quot;??\ [$€-40C]_-;_-@_-"/>
      <alignment horizontal="general" vertical="center"/>
    </dxf>
    <dxf>
      <numFmt numFmtId="164" formatCode="_-* #,##0.00\ [$€-40C]_-;\-* #,##0.00\ [$€-40C]_-;_-* &quot;-&quot;??\ [$€-40C]_-;_-@_-"/>
      <fill>
        <patternFill>
          <fgColor rgb="FF000000"/>
          <bgColor rgb="FFFFFFFF"/>
        </patternFill>
      </fill>
      <alignment vertical="center"/>
    </dxf>
    <dxf>
      <alignment horizontal="center" vertical="center"/>
    </dxf>
    <dxf>
      <numFmt numFmtId="19" formatCode="dd/mm/yyyy"/>
      <fill>
        <patternFill>
          <fgColor rgb="FF000000"/>
          <bgColor rgb="FFFFFFFF"/>
        </patternFill>
      </fill>
      <alignment horizontal="center" vertical="center"/>
    </dxf>
    <dxf>
      <alignment horizontal="left" vertical="center"/>
    </dxf>
    <dxf>
      <fill>
        <patternFill>
          <fgColor rgb="FF000000"/>
          <bgColor rgb="FFFFFFFF"/>
        </patternFill>
      </fill>
      <alignment horizontal="left" vertical="center"/>
    </dxf>
    <dxf>
      <alignment vertical="center"/>
    </dxf>
    <dxf>
      <fill>
        <patternFill>
          <fgColor rgb="FF000000"/>
          <bgColor rgb="FFFFFFFF"/>
        </patternFill>
      </fill>
      <alignment vertical="center"/>
    </dxf>
    <dxf>
      <fill>
        <patternFill>
          <fgColor rgb="FF000000"/>
          <bgColor rgb="FFFFFFFF"/>
        </patternFill>
      </fill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* #,##0.00\ [$€-40C]_-;\-* #,##0.00\ [$€-40C]_-;_-* &quot;-&quot;??\ [$€-40C]_-;_-@_-"/>
      <alignment horizontal="general" vertical="center" textRotation="0" wrapText="0" indent="0" justifyLastLine="0" shrinkToFit="0" readingOrder="0"/>
    </dxf>
    <dxf>
      <numFmt numFmtId="164" formatCode="_-* #,##0.00\ [$€-40C]_-;\-* #,##0.00\ [$€-40C]_-;_-* &quot;-&quot;??\ [$€-40C]_-;_-@_-"/>
      <fill>
        <patternFill>
          <fgColor rgb="FF000000"/>
          <bgColor rgb="FFFFFFFF"/>
        </patternFill>
      </fill>
      <alignment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* #,##0.00\ [$€-40C]_-;\-* #,##0.00\ [$€-40C]_-;_-* &quot;-&quot;??\ [$€-40C]_-;_-@_-"/>
      <alignment horizontal="general" vertical="center" textRotation="0" wrapText="0" indent="0" justifyLastLine="0" shrinkToFit="0" readingOrder="0"/>
    </dxf>
    <dxf>
      <numFmt numFmtId="164" formatCode="_-* #,##0.00\ [$€-40C]_-;\-* #,##0.00\ [$€-40C]_-;_-* &quot;-&quot;??\ [$€-40C]_-;_-@_-"/>
      <fill>
        <patternFill>
          <fgColor rgb="FF000000"/>
          <bgColor rgb="FFFFFFFF"/>
        </patternFill>
      </fill>
      <alignment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numFmt numFmtId="19" formatCode="dd/mm/yyyy"/>
      <fill>
        <patternFill>
          <fgColor rgb="FF000000"/>
          <bgColor rgb="FFFFFFFF"/>
        </patternFill>
      </fill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ill>
        <patternFill>
          <fgColor rgb="FF000000"/>
          <bgColor rgb="FFFFFFFF"/>
        </patternFill>
      </fill>
      <alignment horizontal="left" vertical="center"/>
    </dxf>
    <dxf>
      <alignment vertical="center"/>
    </dxf>
    <dxf>
      <fill>
        <patternFill>
          <fgColor rgb="FF000000"/>
          <bgColor rgb="FFFFFFFF"/>
        </patternFill>
      </fill>
      <alignment vertical="center"/>
    </dxf>
    <dxf>
      <fill>
        <patternFill>
          <fgColor rgb="FF000000"/>
          <bgColor rgb="FFFFFFFF"/>
        </patternFill>
      </fill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* #,##0.00\ [$€-40C]_-;\-* #,##0.00\ [$€-40C]_-;_-* &quot;-&quot;??\ [$€-40C]_-;_-@_-"/>
      <alignment horizontal="general" vertical="center" textRotation="0" wrapText="0" indent="0" justifyLastLine="0" shrinkToFit="0" readingOrder="0"/>
    </dxf>
    <dxf>
      <numFmt numFmtId="164" formatCode="_-* #,##0.00\ [$€-40C]_-;\-* #,##0.00\ [$€-40C]_-;_-* &quot;-&quot;??\ [$€-40C]_-;_-@_-"/>
      <fill>
        <patternFill>
          <fgColor rgb="FF000000"/>
          <bgColor rgb="FFFFFFFF"/>
        </patternFill>
      </fill>
      <alignment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* #,##0.00\ [$€-40C]_-;\-* #,##0.00\ [$€-40C]_-;_-* &quot;-&quot;??\ [$€-40C]_-;_-@_-"/>
      <alignment horizontal="general" vertical="center" textRotation="0" wrapText="0" indent="0" justifyLastLine="0" shrinkToFit="0" readingOrder="0"/>
    </dxf>
    <dxf>
      <numFmt numFmtId="164" formatCode="_-* #,##0.00\ [$€-40C]_-;\-* #,##0.00\ [$€-40C]_-;_-* &quot;-&quot;??\ [$€-40C]_-;_-@_-"/>
      <fill>
        <patternFill>
          <fgColor rgb="FF000000"/>
          <bgColor rgb="FFFFFFFF"/>
        </patternFill>
      </fill>
      <alignment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numFmt numFmtId="19" formatCode="dd/mm/yyyy"/>
      <fill>
        <patternFill>
          <fgColor rgb="FF000000"/>
          <bgColor rgb="FFFFFFFF"/>
        </patternFill>
      </fill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ill>
        <patternFill>
          <fgColor rgb="FF000000"/>
          <bgColor rgb="FFFFFFFF"/>
        </patternFill>
      </fill>
      <alignment horizontal="left" vertical="center"/>
    </dxf>
    <dxf>
      <alignment vertical="center"/>
    </dxf>
    <dxf>
      <fill>
        <patternFill>
          <fgColor rgb="FF000000"/>
          <bgColor rgb="FFFFFFFF"/>
        </patternFill>
      </fill>
      <alignment vertical="center"/>
    </dxf>
    <dxf>
      <fill>
        <patternFill>
          <fgColor rgb="FF000000"/>
          <bgColor rgb="FFFFFFFF"/>
        </patternFill>
      </fill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* #,##0.00\ [$€-40C]_-;\-* #,##0.00\ [$€-40C]_-;_-* &quot;-&quot;??\ [$€-40C]_-;_-@_-"/>
      <alignment horizontal="general" vertical="center" textRotation="0" wrapText="0" indent="0" justifyLastLine="0" shrinkToFit="0" readingOrder="0"/>
    </dxf>
    <dxf>
      <numFmt numFmtId="164" formatCode="_-* #,##0.00\ [$€-40C]_-;\-* #,##0.00\ [$€-40C]_-;_-* &quot;-&quot;??\ [$€-40C]_-;_-@_-"/>
      <fill>
        <patternFill>
          <fgColor rgb="FF000000"/>
          <bgColor rgb="FFFFFFFF"/>
        </patternFill>
      </fill>
      <alignment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* #,##0.00\ [$€-40C]_-;\-* #,##0.00\ [$€-40C]_-;_-* &quot;-&quot;??\ [$€-40C]_-;_-@_-"/>
      <alignment horizontal="general" vertical="center" textRotation="0" wrapText="0" indent="0" justifyLastLine="0" shrinkToFit="0" readingOrder="0"/>
    </dxf>
    <dxf>
      <numFmt numFmtId="164" formatCode="_-* #,##0.00\ [$€-40C]_-;\-* #,##0.00\ [$€-40C]_-;_-* &quot;-&quot;??\ [$€-40C]_-;_-@_-"/>
      <fill>
        <patternFill>
          <fgColor rgb="FF000000"/>
          <bgColor rgb="FFFFFFFF"/>
        </patternFill>
      </fill>
      <alignment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numFmt numFmtId="19" formatCode="dd/mm/yyyy"/>
      <fill>
        <patternFill>
          <fgColor rgb="FF000000"/>
          <bgColor rgb="FFFFFFFF"/>
        </patternFill>
      </fill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ill>
        <patternFill>
          <fgColor rgb="FF000000"/>
          <bgColor rgb="FFFFFFFF"/>
        </patternFill>
      </fill>
      <alignment horizontal="left" vertical="center"/>
    </dxf>
    <dxf>
      <alignment vertical="center"/>
    </dxf>
    <dxf>
      <fill>
        <patternFill>
          <fgColor rgb="FF000000"/>
          <bgColor rgb="FFFFFFFF"/>
        </patternFill>
      </fill>
      <alignment vertical="center"/>
    </dxf>
    <dxf>
      <fill>
        <patternFill>
          <fgColor rgb="FF000000"/>
          <bgColor rgb="FFFFFFFF"/>
        </patternFill>
      </fill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* #,##0.00\ [$€-40C]_-;\-* #,##0.00\ [$€-40C]_-;_-* &quot;-&quot;??\ [$€-40C]_-;_-@_-"/>
      <alignment horizontal="general" vertical="center" textRotation="0" wrapText="0" indent="0" justifyLastLine="0" shrinkToFit="0" readingOrder="0"/>
    </dxf>
    <dxf>
      <numFmt numFmtId="164" formatCode="_-* #,##0.00\ [$€-40C]_-;\-* #,##0.00\ [$€-40C]_-;_-* &quot;-&quot;??\ [$€-40C]_-;_-@_-"/>
      <fill>
        <patternFill>
          <fgColor rgb="FF000000"/>
          <bgColor rgb="FFFFFFFF"/>
        </patternFill>
      </fill>
      <alignment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* #,##0.00\ [$€-40C]_-;\-* #,##0.00\ [$€-40C]_-;_-* &quot;-&quot;??\ [$€-40C]_-;_-@_-"/>
      <alignment horizontal="general" vertical="center" textRotation="0" wrapText="0" indent="0" justifyLastLine="0" shrinkToFit="0" readingOrder="0"/>
    </dxf>
    <dxf>
      <numFmt numFmtId="164" formatCode="_-* #,##0.00\ [$€-40C]_-;\-* #,##0.00\ [$€-40C]_-;_-* &quot;-&quot;??\ [$€-40C]_-;_-@_-"/>
      <fill>
        <patternFill>
          <fgColor rgb="FF000000"/>
          <bgColor rgb="FFFFFFFF"/>
        </patternFill>
      </fill>
      <alignment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numFmt numFmtId="19" formatCode="dd/mm/yyyy"/>
      <fill>
        <patternFill>
          <fgColor rgb="FF000000"/>
          <bgColor rgb="FFFFFFFF"/>
        </patternFill>
      </fill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ill>
        <patternFill>
          <fgColor rgb="FF000000"/>
          <bgColor rgb="FFFFFFFF"/>
        </patternFill>
      </fill>
      <alignment horizontal="left" vertical="center"/>
    </dxf>
    <dxf>
      <alignment vertical="center"/>
    </dxf>
    <dxf>
      <fill>
        <patternFill>
          <fgColor rgb="FF000000"/>
          <bgColor rgb="FFFFFFFF"/>
        </patternFill>
      </fill>
      <alignment vertical="center"/>
    </dxf>
    <dxf>
      <fill>
        <patternFill>
          <fgColor rgb="FF000000"/>
          <bgColor rgb="FFFFFFFF"/>
        </patternFill>
      </fill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* #,##0.00\ [$€-40C]_-;\-* #,##0.00\ [$€-40C]_-;_-* &quot;-&quot;??\ [$€-40C]_-;_-@_-"/>
      <alignment horizontal="general" vertical="center" textRotation="0" wrapText="0" indent="0" justifyLastLine="0" shrinkToFit="0" readingOrder="0"/>
    </dxf>
    <dxf>
      <numFmt numFmtId="164" formatCode="_-* #,##0.00\ [$€-40C]_-;\-* #,##0.00\ [$€-40C]_-;_-* &quot;-&quot;??\ [$€-40C]_-;_-@_-"/>
      <fill>
        <patternFill>
          <fgColor rgb="FF000000"/>
          <bgColor rgb="FFFFFFFF"/>
        </patternFill>
      </fill>
      <alignment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* #,##0.00\ [$€-40C]_-;\-* #,##0.00\ [$€-40C]_-;_-* &quot;-&quot;??\ [$€-40C]_-;_-@_-"/>
      <alignment horizontal="general" vertical="center" textRotation="0" wrapText="0" indent="0" justifyLastLine="0" shrinkToFit="0" readingOrder="0"/>
    </dxf>
    <dxf>
      <numFmt numFmtId="164" formatCode="_-* #,##0.00\ [$€-40C]_-;\-* #,##0.00\ [$€-40C]_-;_-* &quot;-&quot;??\ [$€-40C]_-;_-@_-"/>
      <fill>
        <patternFill>
          <fgColor rgb="FF000000"/>
          <bgColor rgb="FFFFFFFF"/>
        </patternFill>
      </fill>
      <alignment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numFmt numFmtId="19" formatCode="dd/mm/yyyy"/>
      <fill>
        <patternFill>
          <fgColor rgb="FF000000"/>
          <bgColor rgb="FFFFFFFF"/>
        </patternFill>
      </fill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ill>
        <patternFill>
          <fgColor rgb="FF000000"/>
          <bgColor rgb="FFFFFFFF"/>
        </patternFill>
      </fill>
      <alignment horizontal="left" vertical="center"/>
    </dxf>
    <dxf>
      <alignment vertical="center"/>
    </dxf>
    <dxf>
      <fill>
        <patternFill>
          <fgColor rgb="FF000000"/>
          <bgColor rgb="FFFFFFFF"/>
        </patternFill>
      </fill>
      <alignment vertical="center"/>
    </dxf>
    <dxf>
      <fill>
        <patternFill>
          <fgColor rgb="FF000000"/>
          <bgColor rgb="FFFFFFFF"/>
        </patternFill>
      </fill>
      <alignment horizontal="center" vertical="center"/>
    </dxf>
    <dxf>
      <numFmt numFmtId="164" formatCode="_-* #,##0.00\ [$€-40C]_-;\-* #,##0.00\ [$€-40C]_-;_-* &quot;-&quot;??\ [$€-40C]_-;_-@_-"/>
      <alignment horizontal="general" vertical="center"/>
    </dxf>
    <dxf>
      <numFmt numFmtId="164" formatCode="_-* #,##0.00\ [$€-40C]_-;\-* #,##0.00\ [$€-40C]_-;_-* &quot;-&quot;??\ [$€-40C]_-;_-@_-"/>
      <fill>
        <patternFill>
          <fgColor rgb="FF000000"/>
          <bgColor rgb="FFFFFFFF"/>
        </patternFill>
      </fill>
      <alignment vertical="center"/>
    </dxf>
    <dxf>
      <numFmt numFmtId="164" formatCode="_-* #,##0.00\ [$€-40C]_-;\-* #,##0.00\ [$€-40C]_-;_-* &quot;-&quot;??\ [$€-40C]_-;_-@_-"/>
      <alignment horizontal="general" vertical="center"/>
    </dxf>
    <dxf>
      <numFmt numFmtId="164" formatCode="_-* #,##0.00\ [$€-40C]_-;\-* #,##0.00\ [$€-40C]_-;_-* &quot;-&quot;??\ [$€-40C]_-;_-@_-"/>
      <fill>
        <patternFill>
          <fgColor rgb="FF000000"/>
          <bgColor rgb="FFFFFFFF"/>
        </patternFill>
      </fill>
      <alignment vertical="center"/>
    </dxf>
    <dxf>
      <alignment horizontal="center" vertical="center"/>
    </dxf>
    <dxf>
      <numFmt numFmtId="19" formatCode="dd/mm/yyyy"/>
      <fill>
        <patternFill>
          <fgColor rgb="FF000000"/>
          <bgColor rgb="FFFFFFFF"/>
        </patternFill>
      </fill>
      <alignment horizontal="center" vertical="center"/>
    </dxf>
    <dxf>
      <alignment horizontal="left" vertical="center"/>
    </dxf>
    <dxf>
      <fill>
        <patternFill>
          <fgColor rgb="FF000000"/>
          <bgColor rgb="FFFFFFFF"/>
        </patternFill>
      </fill>
      <alignment horizontal="left" vertical="center"/>
    </dxf>
    <dxf>
      <alignment vertical="center"/>
    </dxf>
    <dxf>
      <fill>
        <patternFill>
          <fgColor rgb="FF000000"/>
          <bgColor rgb="FFFFFFFF"/>
        </patternFill>
      </fill>
      <alignment vertical="center"/>
    </dxf>
    <dxf>
      <fill>
        <patternFill>
          <fgColor rgb="FF000000"/>
          <bgColor rgb="FFFFFFFF"/>
        </patternFill>
      </fill>
      <alignment horizontal="center" vertical="center"/>
    </dxf>
    <dxf>
      <numFmt numFmtId="164" formatCode="_-* #,##0.00\ [$€-40C]_-;\-* #,##0.00\ [$€-40C]_-;_-* &quot;-&quot;??\ [$€-40C]_-;_-@_-"/>
      <alignment horizontal="general" vertical="center"/>
    </dxf>
    <dxf>
      <numFmt numFmtId="164" formatCode="_-* #,##0.00\ [$€-40C]_-;\-* #,##0.00\ [$€-40C]_-;_-* &quot;-&quot;??\ [$€-40C]_-;_-@_-"/>
      <fill>
        <patternFill>
          <fgColor rgb="FF000000"/>
          <bgColor rgb="FFFFFFFF"/>
        </patternFill>
      </fill>
      <alignment vertical="center"/>
    </dxf>
    <dxf>
      <numFmt numFmtId="164" formatCode="_-* #,##0.00\ [$€-40C]_-;\-* #,##0.00\ [$€-40C]_-;_-* &quot;-&quot;??\ [$€-40C]_-;_-@_-"/>
      <alignment horizontal="general" vertical="center"/>
    </dxf>
    <dxf>
      <numFmt numFmtId="164" formatCode="_-* #,##0.00\ [$€-40C]_-;\-* #,##0.00\ [$€-40C]_-;_-* &quot;-&quot;??\ [$€-40C]_-;_-@_-"/>
      <fill>
        <patternFill>
          <fgColor rgb="FF000000"/>
          <bgColor rgb="FFFFFFFF"/>
        </patternFill>
      </fill>
      <alignment vertical="center"/>
    </dxf>
    <dxf>
      <alignment horizontal="center" vertical="center"/>
    </dxf>
    <dxf>
      <numFmt numFmtId="19" formatCode="dd/mm/yyyy"/>
      <fill>
        <patternFill>
          <fgColor rgb="FF000000"/>
          <bgColor rgb="FFFFFFFF"/>
        </patternFill>
      </fill>
      <alignment horizontal="center" vertical="center"/>
    </dxf>
    <dxf>
      <alignment horizontal="left" vertical="center"/>
    </dxf>
    <dxf>
      <fill>
        <patternFill>
          <fgColor rgb="FF000000"/>
          <bgColor rgb="FFFFFFFF"/>
        </patternFill>
      </fill>
      <alignment horizontal="left" vertical="center"/>
    </dxf>
    <dxf>
      <alignment vertical="center"/>
    </dxf>
    <dxf>
      <fill>
        <patternFill>
          <fgColor rgb="FF000000"/>
          <bgColor rgb="FFFFFFFF"/>
        </patternFill>
      </fill>
      <alignment vertical="center"/>
    </dxf>
    <dxf>
      <fill>
        <patternFill>
          <fgColor rgb="FF000000"/>
          <bgColor rgb="FFFFFFFF"/>
        </patternFill>
      </fill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</font>
      <numFmt numFmtId="164" formatCode="_-* #,##0.00\ [$€-40C]_-;\-* #,##0.00\ [$€-40C]_-;_-* &quot;-&quot;??\ [$€-40C]_-;_-@_-"/>
      <alignment horizontal="general" vertical="center"/>
    </dxf>
    <dxf>
      <numFmt numFmtId="164" formatCode="_-* #,##0.00\ [$€-40C]_-;\-* #,##0.00\ [$€-40C]_-;_-* &quot;-&quot;??\ [$€-40C]_-;_-@_-"/>
      <fill>
        <patternFill>
          <fgColor rgb="FF000000"/>
          <bgColor rgb="FFFFFFFF"/>
        </patternFill>
      </fill>
      <alignment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</font>
      <numFmt numFmtId="164" formatCode="_-* #,##0.00\ [$€-40C]_-;\-* #,##0.00\ [$€-40C]_-;_-* &quot;-&quot;??\ [$€-40C]_-;_-@_-"/>
      <alignment horizontal="general" vertical="center"/>
    </dxf>
    <dxf>
      <numFmt numFmtId="164" formatCode="_-* #,##0.00\ [$€-40C]_-;\-* #,##0.00\ [$€-40C]_-;_-* &quot;-&quot;??\ [$€-40C]_-;_-@_-"/>
      <fill>
        <patternFill>
          <fgColor rgb="FF000000"/>
          <bgColor rgb="FFFFFFFF"/>
        </patternFill>
      </fill>
      <alignment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</font>
      <alignment horizontal="center" vertical="center"/>
    </dxf>
    <dxf>
      <numFmt numFmtId="19" formatCode="dd/mm/yyyy"/>
      <fill>
        <patternFill>
          <fgColor rgb="FF000000"/>
          <bgColor rgb="FFFFFFFF"/>
        </patternFill>
      </fill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</font>
      <alignment horizontal="left" vertical="center"/>
    </dxf>
    <dxf>
      <fill>
        <patternFill>
          <fgColor rgb="FF000000"/>
          <bgColor rgb="FFFFFFFF"/>
        </patternFill>
      </fill>
      <alignment horizontal="left" vertical="center"/>
    </dxf>
    <dxf>
      <alignment vertical="center"/>
    </dxf>
    <dxf>
      <fill>
        <patternFill>
          <fgColor rgb="FF000000"/>
          <bgColor rgb="FFFFFFFF"/>
        </patternFill>
      </fill>
      <alignment vertical="center"/>
    </dxf>
    <dxf>
      <fill>
        <patternFill>
          <fgColor rgb="FF000000"/>
          <bgColor rgb="FFFFFFFF"/>
        </patternFill>
      </fill>
      <alignment horizontal="center" vertical="center"/>
    </dxf>
    <dxf>
      <numFmt numFmtId="164" formatCode="_-* #,##0.00\ [$€-40C]_-;\-* #,##0.00\ [$€-40C]_-;_-* &quot;-&quot;??\ [$€-40C]_-;_-@_-"/>
      <alignment horizontal="general" vertical="center"/>
    </dxf>
    <dxf>
      <numFmt numFmtId="164" formatCode="_-* #,##0.00\ [$€-40C]_-;\-* #,##0.00\ [$€-40C]_-;_-* &quot;-&quot;??\ [$€-40C]_-;_-@_-"/>
      <fill>
        <patternFill>
          <fgColor rgb="FF000000"/>
          <bgColor rgb="FFFFFFFF"/>
        </patternFill>
      </fill>
      <alignment vertical="center"/>
    </dxf>
    <dxf>
      <numFmt numFmtId="164" formatCode="_-* #,##0.00\ [$€-40C]_-;\-* #,##0.00\ [$€-40C]_-;_-* &quot;-&quot;??\ [$€-40C]_-;_-@_-"/>
      <alignment horizontal="general" vertical="center"/>
    </dxf>
    <dxf>
      <numFmt numFmtId="164" formatCode="_-* #,##0.00\ [$€-40C]_-;\-* #,##0.00\ [$€-40C]_-;_-* &quot;-&quot;??\ [$€-40C]_-;_-@_-"/>
      <fill>
        <patternFill>
          <fgColor rgb="FF000000"/>
          <bgColor rgb="FFFFFFFF"/>
        </patternFill>
      </fill>
      <alignment vertical="center"/>
    </dxf>
    <dxf>
      <alignment horizontal="center" vertical="center"/>
    </dxf>
    <dxf>
      <numFmt numFmtId="19" formatCode="dd/mm/yyyy"/>
      <fill>
        <patternFill>
          <fgColor rgb="FF000000"/>
          <bgColor rgb="FFFFFFFF"/>
        </patternFill>
      </fill>
      <alignment horizontal="center" vertical="center"/>
    </dxf>
    <dxf>
      <alignment horizontal="left" vertical="center"/>
    </dxf>
    <dxf>
      <fill>
        <patternFill>
          <fgColor rgb="FF000000"/>
          <bgColor rgb="FFFFFFFF"/>
        </patternFill>
      </fill>
      <alignment horizontal="left" vertical="center"/>
    </dxf>
    <dxf>
      <alignment vertical="center"/>
    </dxf>
    <dxf>
      <fill>
        <patternFill>
          <fgColor rgb="FF000000"/>
          <bgColor rgb="FFFFFFFF"/>
        </patternFill>
      </fill>
      <alignment vertical="center"/>
    </dxf>
    <dxf>
      <fill>
        <patternFill>
          <fgColor rgb="FF000000"/>
          <bgColor rgb="FFFFFFFF"/>
        </patternFill>
      </fill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* #,##0.00\ [$€-40C]_-;\-* #,##0.00\ [$€-40C]_-;_-* &quot;-&quot;??\ [$€-40C]_-;_-@_-"/>
      <alignment horizontal="general" vertical="center" textRotation="0" wrapText="0" indent="0" justifyLastLine="0" shrinkToFit="0" readingOrder="0"/>
    </dxf>
    <dxf>
      <numFmt numFmtId="164" formatCode="_-* #,##0.00\ [$€-40C]_-;\-* #,##0.00\ [$€-40C]_-;_-* &quot;-&quot;??\ [$€-40C]_-;_-@_-"/>
      <fill>
        <patternFill>
          <fgColor rgb="FF000000"/>
          <bgColor rgb="FFFFFFFF"/>
        </patternFill>
      </fill>
      <alignment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* #,##0.00\ [$€-40C]_-;\-* #,##0.00\ [$€-40C]_-;_-* &quot;-&quot;??\ [$€-40C]_-;_-@_-"/>
      <alignment horizontal="general" vertical="center" textRotation="0" wrapText="0" indent="0" justifyLastLine="0" shrinkToFit="0" readingOrder="0"/>
    </dxf>
    <dxf>
      <numFmt numFmtId="164" formatCode="_-* #,##0.00\ [$€-40C]_-;\-* #,##0.00\ [$€-40C]_-;_-* &quot;-&quot;??\ [$€-40C]_-;_-@_-"/>
      <fill>
        <patternFill>
          <fgColor rgb="FF000000"/>
          <bgColor rgb="FFFFFFFF"/>
        </patternFill>
      </fill>
      <alignment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numFmt numFmtId="19" formatCode="dd/mm/yyyy"/>
      <fill>
        <patternFill>
          <fgColor rgb="FF000000"/>
          <bgColor rgb="FFFFFFFF"/>
        </patternFill>
      </fill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ill>
        <patternFill>
          <fgColor rgb="FF000000"/>
          <bgColor rgb="FFFFFFFF"/>
        </patternFill>
      </fill>
      <alignment horizontal="left" vertical="center"/>
    </dxf>
    <dxf>
      <alignment vertical="center"/>
    </dxf>
    <dxf>
      <fill>
        <patternFill>
          <fgColor rgb="FF000000"/>
          <bgColor rgb="FFFFFFFF"/>
        </patternFill>
      </fill>
      <alignment vertical="center"/>
    </dxf>
    <dxf>
      <fill>
        <patternFill>
          <fgColor rgb="FF000000"/>
          <bgColor rgb="FFFFFFFF"/>
        </patternFill>
      </fill>
      <alignment horizontal="center" vertical="center"/>
    </dxf>
    <dxf>
      <numFmt numFmtId="164" formatCode="_-* #,##0.00\ [$€-40C]_-;\-* #,##0.00\ [$€-40C]_-;_-* &quot;-&quot;??\ [$€-40C]_-;_-@_-"/>
      <alignment horizontal="general" vertical="center"/>
    </dxf>
    <dxf>
      <numFmt numFmtId="164" formatCode="_-* #,##0.00\ [$€-40C]_-;\-* #,##0.00\ [$€-40C]_-;_-* &quot;-&quot;??\ [$€-40C]_-;_-@_-"/>
      <fill>
        <patternFill>
          <fgColor rgb="FF000000"/>
          <bgColor rgb="FFFFFFFF"/>
        </patternFill>
      </fill>
      <alignment vertical="center"/>
    </dxf>
    <dxf>
      <numFmt numFmtId="164" formatCode="_-* #,##0.00\ [$€-40C]_-;\-* #,##0.00\ [$€-40C]_-;_-* &quot;-&quot;??\ [$€-40C]_-;_-@_-"/>
      <alignment horizontal="general" vertical="center"/>
    </dxf>
    <dxf>
      <numFmt numFmtId="164" formatCode="_-* #,##0.00\ [$€-40C]_-;\-* #,##0.00\ [$€-40C]_-;_-* &quot;-&quot;??\ [$€-40C]_-;_-@_-"/>
      <fill>
        <patternFill>
          <fgColor rgb="FF000000"/>
          <bgColor rgb="FFFFFFFF"/>
        </patternFill>
      </fill>
      <alignment vertical="center"/>
    </dxf>
    <dxf>
      <alignment horizontal="center" vertical="center"/>
    </dxf>
    <dxf>
      <numFmt numFmtId="19" formatCode="dd/mm/yyyy"/>
      <fill>
        <patternFill>
          <fgColor rgb="FF000000"/>
          <bgColor rgb="FFFFFFFF"/>
        </patternFill>
      </fill>
      <alignment horizontal="center" vertical="center"/>
    </dxf>
    <dxf>
      <alignment horizontal="left" vertical="center"/>
    </dxf>
    <dxf>
      <fill>
        <patternFill>
          <fgColor rgb="FF000000"/>
          <bgColor rgb="FFFFFFFF"/>
        </patternFill>
      </fill>
      <alignment horizontal="left" vertical="center"/>
    </dxf>
    <dxf>
      <alignment vertical="center"/>
    </dxf>
    <dxf>
      <fill>
        <patternFill>
          <fgColor rgb="FF000000"/>
          <bgColor rgb="FFFFFFFF"/>
        </patternFill>
      </fill>
      <alignment vertical="center"/>
    </dxf>
    <dxf>
      <fill>
        <patternFill>
          <fgColor rgb="FF000000"/>
          <bgColor rgb="FFFFFFFF"/>
        </patternFill>
      </fill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* #,##0.00\ [$€-40C]_-;\-* #,##0.00\ [$€-40C]_-;_-* &quot;-&quot;??\ [$€-40C]_-;_-@_-"/>
      <alignment horizontal="general" vertical="center" textRotation="0" wrapText="0" indent="0" justifyLastLine="0" shrinkToFit="0" readingOrder="0"/>
    </dxf>
    <dxf>
      <numFmt numFmtId="164" formatCode="_-* #,##0.00\ [$€-40C]_-;\-* #,##0.00\ [$€-40C]_-;_-* &quot;-&quot;??\ [$€-40C]_-;_-@_-"/>
      <fill>
        <patternFill>
          <fgColor rgb="FF000000"/>
          <bgColor rgb="FFFFFFFF"/>
        </patternFill>
      </fill>
      <alignment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* #,##0.00\ [$€-40C]_-;\-* #,##0.00\ [$€-40C]_-;_-* &quot;-&quot;??\ [$€-40C]_-;_-@_-"/>
      <alignment horizontal="general" vertical="center" textRotation="0" wrapText="0" indent="0" justifyLastLine="0" shrinkToFit="0" readingOrder="0"/>
    </dxf>
    <dxf>
      <numFmt numFmtId="164" formatCode="_-* #,##0.00\ [$€-40C]_-;\-* #,##0.00\ [$€-40C]_-;_-* &quot;-&quot;??\ [$€-40C]_-;_-@_-"/>
      <fill>
        <patternFill>
          <fgColor rgb="FF000000"/>
          <bgColor rgb="FFFFFFFF"/>
        </patternFill>
      </fill>
      <alignment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numFmt numFmtId="19" formatCode="dd/mm/yyyy"/>
      <fill>
        <patternFill>
          <fgColor rgb="FF000000"/>
          <bgColor rgb="FFFFFFFF"/>
        </patternFill>
      </fill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ill>
        <patternFill>
          <fgColor rgb="FF000000"/>
          <bgColor rgb="FFFFFFFF"/>
        </patternFill>
      </fill>
      <alignment horizontal="left" vertical="center"/>
    </dxf>
    <dxf>
      <alignment vertical="center"/>
    </dxf>
    <dxf>
      <fill>
        <patternFill>
          <fgColor rgb="FF000000"/>
          <bgColor rgb="FFFFFFFF"/>
        </patternFill>
      </fill>
      <alignment vertical="center"/>
    </dxf>
    <dxf>
      <fill>
        <patternFill>
          <fgColor rgb="FF000000"/>
          <bgColor rgb="FFFFFFFF"/>
        </patternFill>
      </fill>
      <alignment horizontal="center" vertical="center"/>
    </dxf>
    <dxf>
      <numFmt numFmtId="164" formatCode="_-* #,##0.00\ [$€-40C]_-;\-* #,##0.00\ [$€-40C]_-;_-* &quot;-&quot;??\ [$€-40C]_-;_-@_-"/>
      <alignment horizontal="general" vertical="center"/>
    </dxf>
    <dxf>
      <numFmt numFmtId="164" formatCode="_-* #,##0.00\ [$€-40C]_-;\-* #,##0.00\ [$€-40C]_-;_-* &quot;-&quot;??\ [$€-40C]_-;_-@_-"/>
      <fill>
        <patternFill>
          <fgColor rgb="FF000000"/>
          <bgColor rgb="FFFFFFFF"/>
        </patternFill>
      </fill>
      <alignment vertical="center"/>
    </dxf>
    <dxf>
      <numFmt numFmtId="164" formatCode="_-* #,##0.00\ [$€-40C]_-;\-* #,##0.00\ [$€-40C]_-;_-* &quot;-&quot;??\ [$€-40C]_-;_-@_-"/>
      <alignment horizontal="general" vertical="center"/>
    </dxf>
    <dxf>
      <numFmt numFmtId="164" formatCode="_-* #,##0.00\ [$€-40C]_-;\-* #,##0.00\ [$€-40C]_-;_-* &quot;-&quot;??\ [$€-40C]_-;_-@_-"/>
      <fill>
        <patternFill>
          <fgColor rgb="FF000000"/>
          <bgColor rgb="FFFFFFFF"/>
        </patternFill>
      </fill>
      <alignment vertical="center"/>
    </dxf>
    <dxf>
      <alignment horizontal="center" vertical="center"/>
    </dxf>
    <dxf>
      <numFmt numFmtId="19" formatCode="dd/mm/yyyy"/>
      <fill>
        <patternFill>
          <fgColor rgb="FF000000"/>
          <bgColor rgb="FFFFFFFF"/>
        </patternFill>
      </fill>
      <alignment horizontal="center" vertical="center"/>
    </dxf>
    <dxf>
      <alignment horizontal="left" vertical="center"/>
    </dxf>
    <dxf>
      <fill>
        <patternFill>
          <fgColor rgb="FF000000"/>
          <bgColor rgb="FFFFFFFF"/>
        </patternFill>
      </fill>
      <alignment horizontal="left" vertical="center"/>
    </dxf>
    <dxf>
      <alignment vertical="center"/>
    </dxf>
    <dxf>
      <fill>
        <patternFill>
          <fgColor rgb="FF000000"/>
          <bgColor rgb="FFFFFFFF"/>
        </patternFill>
      </fill>
      <alignment vertical="center"/>
    </dxf>
    <dxf>
      <fill>
        <patternFill>
          <fgColor rgb="FF000000"/>
          <bgColor rgb="FFFFFFFF"/>
        </patternFill>
      </fill>
      <alignment horizontal="center" vertical="center"/>
    </dxf>
    <dxf>
      <numFmt numFmtId="164" formatCode="_-* #,##0.00\ [$€-40C]_-;\-* #,##0.00\ [$€-40C]_-;_-* &quot;-&quot;??\ [$€-40C]_-;_-@_-"/>
      <alignment horizontal="general" vertical="center"/>
    </dxf>
    <dxf>
      <numFmt numFmtId="164" formatCode="_-* #,##0.00\ [$€-40C]_-;\-* #,##0.00\ [$€-40C]_-;_-* &quot;-&quot;??\ [$€-40C]_-;_-@_-"/>
      <fill>
        <patternFill>
          <fgColor rgb="FF000000"/>
          <bgColor rgb="FFFFFFFF"/>
        </patternFill>
      </fill>
      <alignment vertical="center"/>
    </dxf>
    <dxf>
      <numFmt numFmtId="164" formatCode="_-* #,##0.00\ [$€-40C]_-;\-* #,##0.00\ [$€-40C]_-;_-* &quot;-&quot;??\ [$€-40C]_-;_-@_-"/>
      <alignment horizontal="general" vertical="center"/>
    </dxf>
    <dxf>
      <numFmt numFmtId="164" formatCode="_-* #,##0.00\ [$€-40C]_-;\-* #,##0.00\ [$€-40C]_-;_-* &quot;-&quot;??\ [$€-40C]_-;_-@_-"/>
      <fill>
        <patternFill>
          <fgColor rgb="FF000000"/>
          <bgColor rgb="FFFFFFFF"/>
        </patternFill>
      </fill>
      <alignment vertical="center"/>
    </dxf>
    <dxf>
      <alignment horizontal="center" vertical="center"/>
    </dxf>
    <dxf>
      <numFmt numFmtId="19" formatCode="dd/mm/yyyy"/>
      <fill>
        <patternFill>
          <fgColor rgb="FF000000"/>
          <bgColor rgb="FFFFFFFF"/>
        </patternFill>
      </fill>
      <alignment horizontal="center" vertical="center"/>
    </dxf>
    <dxf>
      <alignment horizontal="left" vertical="center"/>
    </dxf>
    <dxf>
      <fill>
        <patternFill>
          <fgColor rgb="FF000000"/>
          <bgColor rgb="FFFFFFFF"/>
        </patternFill>
      </fill>
      <alignment horizontal="left" vertical="center"/>
    </dxf>
    <dxf>
      <alignment vertical="center"/>
    </dxf>
    <dxf>
      <fill>
        <patternFill>
          <fgColor rgb="FF000000"/>
          <bgColor rgb="FFFFFFFF"/>
        </patternFill>
      </fill>
      <alignment vertical="center"/>
    </dxf>
    <dxf>
      <fill>
        <patternFill>
          <fgColor rgb="FF000000"/>
          <bgColor rgb="FFFFFFFF"/>
        </patternFill>
      </fill>
      <alignment horizontal="center" vertical="center"/>
    </dxf>
    <dxf>
      <numFmt numFmtId="164" formatCode="_-* #,##0.00\ [$€-40C]_-;\-* #,##0.00\ [$€-40C]_-;_-* &quot;-&quot;??\ [$€-40C]_-;_-@_-"/>
      <alignment horizontal="general" vertical="center"/>
    </dxf>
    <dxf>
      <numFmt numFmtId="164" formatCode="_-* #,##0.00\ [$€-40C]_-;\-* #,##0.00\ [$€-40C]_-;_-* &quot;-&quot;??\ [$€-40C]_-;_-@_-"/>
      <fill>
        <patternFill>
          <fgColor rgb="FF000000"/>
          <bgColor rgb="FFFFFFFF"/>
        </patternFill>
      </fill>
      <alignment vertical="center"/>
    </dxf>
    <dxf>
      <numFmt numFmtId="164" formatCode="_-* #,##0.00\ [$€-40C]_-;\-* #,##0.00\ [$€-40C]_-;_-* &quot;-&quot;??\ [$€-40C]_-;_-@_-"/>
      <alignment horizontal="general" vertical="center"/>
    </dxf>
    <dxf>
      <numFmt numFmtId="164" formatCode="_-* #,##0.00\ [$€-40C]_-;\-* #,##0.00\ [$€-40C]_-;_-* &quot;-&quot;??\ [$€-40C]_-;_-@_-"/>
      <fill>
        <patternFill>
          <fgColor rgb="FF000000"/>
          <bgColor rgb="FFFFFFFF"/>
        </patternFill>
      </fill>
      <alignment vertical="center"/>
    </dxf>
    <dxf>
      <alignment horizontal="center" vertical="center"/>
    </dxf>
    <dxf>
      <numFmt numFmtId="19" formatCode="dd/mm/yyyy"/>
      <fill>
        <patternFill>
          <fgColor rgb="FF000000"/>
          <bgColor rgb="FFFFFFFF"/>
        </patternFill>
      </fill>
      <alignment horizontal="center" vertical="center"/>
    </dxf>
    <dxf>
      <alignment horizontal="left" vertical="center"/>
    </dxf>
    <dxf>
      <fill>
        <patternFill>
          <fgColor rgb="FF000000"/>
          <bgColor rgb="FFFFFFFF"/>
        </patternFill>
      </fill>
      <alignment horizontal="left" vertical="center"/>
    </dxf>
    <dxf>
      <alignment vertical="center"/>
    </dxf>
    <dxf>
      <fill>
        <patternFill>
          <fgColor rgb="FF000000"/>
          <bgColor rgb="FFFFFFFF"/>
        </patternFill>
      </fill>
      <alignment vertical="center"/>
    </dxf>
    <dxf>
      <fill>
        <patternFill>
          <fgColor rgb="FF000000"/>
          <bgColor rgb="FFFFFFFF"/>
        </patternFill>
      </fill>
      <alignment horizontal="center" vertical="center"/>
    </dxf>
    <dxf>
      <numFmt numFmtId="164" formatCode="_-* #,##0.00\ [$€-40C]_-;\-* #,##0.00\ [$€-40C]_-;_-* &quot;-&quot;??\ [$€-40C]_-;_-@_-"/>
      <alignment horizontal="general" vertical="center"/>
    </dxf>
    <dxf>
      <numFmt numFmtId="164" formatCode="_-* #,##0.00\ [$€-40C]_-;\-* #,##0.00\ [$€-40C]_-;_-* &quot;-&quot;??\ [$€-40C]_-;_-@_-"/>
      <fill>
        <patternFill>
          <fgColor rgb="FF000000"/>
          <bgColor rgb="FFFFFFFF"/>
        </patternFill>
      </fill>
      <alignment vertical="center"/>
    </dxf>
    <dxf>
      <numFmt numFmtId="164" formatCode="_-* #,##0.00\ [$€-40C]_-;\-* #,##0.00\ [$€-40C]_-;_-* &quot;-&quot;??\ [$€-40C]_-;_-@_-"/>
      <alignment horizontal="general" vertical="center"/>
    </dxf>
    <dxf>
      <numFmt numFmtId="164" formatCode="_-* #,##0.00\ [$€-40C]_-;\-* #,##0.00\ [$€-40C]_-;_-* &quot;-&quot;??\ [$€-40C]_-;_-@_-"/>
      <fill>
        <patternFill>
          <fgColor rgb="FF000000"/>
          <bgColor rgb="FFFFFFFF"/>
        </patternFill>
      </fill>
      <alignment vertical="center"/>
    </dxf>
    <dxf>
      <alignment horizontal="center" vertical="center"/>
    </dxf>
    <dxf>
      <numFmt numFmtId="19" formatCode="dd/mm/yyyy"/>
      <fill>
        <patternFill>
          <fgColor rgb="FF000000"/>
          <bgColor rgb="FFFFFFFF"/>
        </patternFill>
      </fill>
      <alignment horizontal="center" vertical="center"/>
    </dxf>
    <dxf>
      <alignment horizontal="left" vertical="center"/>
    </dxf>
    <dxf>
      <fill>
        <patternFill>
          <fgColor rgb="FF000000"/>
          <bgColor rgb="FFFFFFFF"/>
        </patternFill>
      </fill>
      <alignment horizontal="left" vertical="center"/>
    </dxf>
    <dxf>
      <alignment vertical="center"/>
    </dxf>
    <dxf>
      <fill>
        <patternFill>
          <fgColor rgb="FF000000"/>
          <bgColor rgb="FFFFFFFF"/>
        </patternFill>
      </fill>
      <alignment vertical="center"/>
    </dxf>
    <dxf>
      <fill>
        <patternFill>
          <fgColor rgb="FF000000"/>
          <bgColor rgb="FFFFFFFF"/>
        </patternFill>
      </fill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* #,##0.00\ [$€-40C]_-;\-* #,##0.00\ [$€-40C]_-;_-* &quot;-&quot;??\ [$€-40C]_-;_-@_-"/>
      <alignment horizontal="general" vertical="center" textRotation="0" wrapText="0" indent="0" justifyLastLine="0" shrinkToFit="0" readingOrder="0"/>
    </dxf>
    <dxf>
      <numFmt numFmtId="164" formatCode="_-* #,##0.00\ [$€-40C]_-;\-* #,##0.00\ [$€-40C]_-;_-* &quot;-&quot;??\ [$€-40C]_-;_-@_-"/>
      <fill>
        <patternFill>
          <fgColor rgb="FF000000"/>
          <bgColor rgb="FFFFFFFF"/>
        </patternFill>
      </fill>
      <alignment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* #,##0.00\ [$€-40C]_-;\-* #,##0.00\ [$€-40C]_-;_-* &quot;-&quot;??\ [$€-40C]_-;_-@_-"/>
      <alignment horizontal="general" vertical="center" textRotation="0" wrapText="0" indent="0" justifyLastLine="0" shrinkToFit="0" readingOrder="0"/>
    </dxf>
    <dxf>
      <numFmt numFmtId="164" formatCode="_-* #,##0.00\ [$€-40C]_-;\-* #,##0.00\ [$€-40C]_-;_-* &quot;-&quot;??\ [$€-40C]_-;_-@_-"/>
      <fill>
        <patternFill>
          <fgColor rgb="FF000000"/>
          <bgColor rgb="FFFFFFFF"/>
        </patternFill>
      </fill>
      <alignment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numFmt numFmtId="19" formatCode="dd/mm/yyyy"/>
      <fill>
        <patternFill>
          <fgColor rgb="FF000000"/>
          <bgColor rgb="FFFFFFFF"/>
        </patternFill>
      </fill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ill>
        <patternFill>
          <fgColor rgb="FF000000"/>
          <bgColor rgb="FFFFFFFF"/>
        </patternFill>
      </fill>
      <alignment horizontal="left" vertical="center"/>
    </dxf>
    <dxf>
      <alignment vertical="center"/>
    </dxf>
    <dxf>
      <fill>
        <patternFill>
          <fgColor rgb="FF000000"/>
          <bgColor rgb="FFFFFFFF"/>
        </patternFill>
      </fill>
      <alignment vertical="center"/>
    </dxf>
    <dxf>
      <fill>
        <patternFill>
          <fgColor rgb="FF000000"/>
          <bgColor rgb="FFFFFFFF"/>
        </patternFill>
      </fill>
      <alignment horizontal="center" vertical="center"/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FCE4D6"/>
          <bgColor rgb="FFFCE4D6"/>
        </patternFill>
      </fill>
    </dxf>
    <dxf>
      <font>
        <b/>
        <color rgb="FF000000"/>
      </font>
    </dxf>
    <dxf>
      <font>
        <b/>
        <color rgb="FF000000"/>
      </font>
    </dxf>
    <dxf>
      <font>
        <b/>
        <color rgb="FF000000"/>
      </font>
      <border>
        <top style="double">
          <color rgb="FFED7D31"/>
        </top>
      </border>
    </dxf>
    <dxf>
      <font>
        <b/>
        <color rgb="FFFFFFFF"/>
      </font>
      <fill>
        <patternFill patternType="solid">
          <fgColor rgb="FFED7D31"/>
          <bgColor rgb="FFED7D31"/>
        </patternFill>
      </fill>
    </dxf>
    <dxf>
      <font>
        <color rgb="FF000000"/>
      </font>
      <border>
        <left style="thin">
          <color rgb="FFF4B084"/>
        </left>
        <right style="thin">
          <color rgb="FFF4B084"/>
        </right>
        <top style="thin">
          <color rgb="FFF4B084"/>
        </top>
        <bottom style="thin">
          <color rgb="FFF4B084"/>
        </bottom>
        <horizontal style="thin">
          <color rgb="FFF4B084"/>
        </horizontal>
      </border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FCE4D6"/>
          <bgColor rgb="FFFCE4D6"/>
        </patternFill>
      </fill>
    </dxf>
    <dxf>
      <font>
        <b/>
        <color rgb="FF000000"/>
      </font>
    </dxf>
    <dxf>
      <font>
        <b/>
        <color rgb="FF000000"/>
      </font>
    </dxf>
    <dxf>
      <font>
        <b/>
        <color rgb="FF000000"/>
      </font>
      <border>
        <top style="double">
          <color rgb="FFED7D31"/>
        </top>
      </border>
    </dxf>
    <dxf>
      <font>
        <b/>
        <color rgb="FFFFFFFF"/>
      </font>
      <fill>
        <patternFill patternType="solid">
          <fgColor rgb="FFED7D31"/>
          <bgColor rgb="FFED7D31"/>
        </patternFill>
      </fill>
    </dxf>
    <dxf>
      <font>
        <color rgb="FF000000"/>
      </font>
      <border>
        <left style="thin">
          <color rgb="FFF4B084"/>
        </left>
        <right style="thin">
          <color rgb="FFF4B084"/>
        </right>
        <top style="thin">
          <color rgb="FFF4B084"/>
        </top>
        <bottom style="thin">
          <color rgb="FFF4B084"/>
        </bottom>
        <horizontal style="thin">
          <color rgb="FFF4B084"/>
        </horizontal>
      </border>
    </dxf>
  </dxfs>
  <tableStyles count="2" defaultTableStyle="TableStyleMedium9" defaultPivotStyle="PivotStyleLight16">
    <tableStyle name="TableStyleMedium3 2" pivot="0" count="7" xr9:uid="{00000000-0011-0000-FFFF-FFFF00000000}">
      <tableStyleElement type="wholeTable" dxfId="541"/>
      <tableStyleElement type="headerRow" dxfId="540"/>
      <tableStyleElement type="totalRow" dxfId="539"/>
      <tableStyleElement type="firstColumn" dxfId="538"/>
      <tableStyleElement type="lastColumn" dxfId="537"/>
      <tableStyleElement type="firstRowStripe" dxfId="536"/>
      <tableStyleElement type="firstColumnStripe" dxfId="535"/>
    </tableStyle>
    <tableStyle name="TableStyleMedium3 3" pivot="0" count="7" xr9:uid="{00000000-0011-0000-FFFF-FFFF01000000}">
      <tableStyleElement type="wholeTable" dxfId="534"/>
      <tableStyleElement type="headerRow" dxfId="533"/>
      <tableStyleElement type="totalRow" dxfId="532"/>
      <tableStyleElement type="firstColumn" dxfId="531"/>
      <tableStyleElement type="lastColumn" dxfId="530"/>
      <tableStyleElement type="firstRowStripe" dxfId="529"/>
      <tableStyleElement type="firstColumnStripe" dxfId="528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au4132342515867" displayName="Tableau4132342515867" ref="C4:F13" totalsRowCount="1" headerRowDxfId="527" dataDxfId="526" totalsRowDxfId="525">
  <autoFilter ref="C4:F12" xr:uid="{00000000-0009-0000-0100-000001000000}"/>
  <tableColumns count="4">
    <tableColumn id="1" xr3:uid="{00000000-0010-0000-0000-000001000000}" name="Détail" totalsRowLabel="Total" dataDxfId="524" totalsRowDxfId="523"/>
    <tableColumn id="2" xr3:uid="{00000000-0010-0000-0000-000002000000}" name="Date" dataDxfId="522" totalsRowDxfId="521"/>
    <tableColumn id="3" xr3:uid="{00000000-0010-0000-0000-000003000000}" name="Revenus" totalsRowFunction="custom" dataDxfId="520" totalsRowDxfId="519">
      <totalsRowFormula>SUBTOTAL(9,Tableau4132342515867[Revenus])</totalsRowFormula>
    </tableColumn>
    <tableColumn id="4" xr3:uid="{00000000-0010-0000-0000-000004000000}" name="Dépenses" totalsRowFunction="custom" dataDxfId="518" totalsRowDxfId="517">
      <totalsRowFormula>SUBTOTAL(9,Tableau4132342515867[Dépenses])</totalsRowFormula>
    </tableColumn>
  </tableColumns>
  <tableStyleInfo name="TableStyleMedium3 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au446162645546170" displayName="Tableau446162645546170" ref="C16:F25" totalsRowCount="1" headerRowDxfId="516" dataDxfId="515" totalsRowDxfId="514">
  <autoFilter ref="C16:F24" xr:uid="{00000000-0009-0000-0100-000002000000}"/>
  <tableColumns count="4">
    <tableColumn id="1" xr3:uid="{00000000-0010-0000-0100-000001000000}" name="Détail" totalsRowLabel="Total" dataDxfId="513" totalsRowDxfId="512"/>
    <tableColumn id="2" xr3:uid="{00000000-0010-0000-0100-000002000000}" name="Date" dataDxfId="511" totalsRowDxfId="510"/>
    <tableColumn id="3" xr3:uid="{00000000-0010-0000-0100-000003000000}" name="Revenus" totalsRowFunction="custom" dataDxfId="509" totalsRowDxfId="508">
      <totalsRowFormula>SUBTOTAL(9,Tableau446162645546170[Revenus])</totalsRowFormula>
    </tableColumn>
    <tableColumn id="4" xr3:uid="{00000000-0010-0000-0100-000004000000}" name="Dépenses" totalsRowFunction="custom" dataDxfId="507" totalsRowDxfId="506">
      <totalsRowFormula>SUBTOTAL(9,Tableau446162645546170[Dépenses])</totalsRowFormula>
    </tableColumn>
  </tableColumns>
  <tableStyleInfo name="TableStyleMedium3 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au44616264554617020" displayName="Tableau44616264554617020" ref="I16:L25" totalsRowCount="1" headerRowDxfId="505" dataDxfId="504" totalsRowDxfId="503">
  <autoFilter ref="I16:L24" xr:uid="{00000000-0009-0000-0100-000003000000}"/>
  <tableColumns count="4">
    <tableColumn id="1" xr3:uid="{00000000-0010-0000-0200-000001000000}" name="Détail" totalsRowLabel="Total" dataDxfId="502" totalsRowDxfId="501"/>
    <tableColumn id="2" xr3:uid="{00000000-0010-0000-0200-000002000000}" name="Date" dataDxfId="500" totalsRowDxfId="499"/>
    <tableColumn id="3" xr3:uid="{00000000-0010-0000-0200-000003000000}" name="Revenus" totalsRowFunction="custom" dataDxfId="498" totalsRowDxfId="497">
      <totalsRowFormula>SUBTOTAL(9,Tableau44616264554617020[Revenus])</totalsRowFormula>
    </tableColumn>
    <tableColumn id="4" xr3:uid="{00000000-0010-0000-0200-000004000000}" name="Dépenses" totalsRowFunction="custom" dataDxfId="496" totalsRowDxfId="495">
      <totalsRowFormula>SUBTOTAL(9,Tableau44616264554617020[Dépenses])</totalsRowFormula>
    </tableColumn>
  </tableColumns>
  <tableStyleInfo name="TableStyleMedium3 3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au44616264554617021" displayName="Tableau44616264554617021" ref="C28:F37" totalsRowCount="1" headerRowDxfId="494" dataDxfId="493" totalsRowDxfId="492">
  <autoFilter ref="C28:F36" xr:uid="{00000000-0009-0000-0100-000004000000}"/>
  <tableColumns count="4">
    <tableColumn id="1" xr3:uid="{00000000-0010-0000-0300-000001000000}" name="Détail" totalsRowLabel="Total" dataDxfId="491" totalsRowDxfId="490"/>
    <tableColumn id="2" xr3:uid="{00000000-0010-0000-0300-000002000000}" name="Date" dataDxfId="489" totalsRowDxfId="488"/>
    <tableColumn id="3" xr3:uid="{00000000-0010-0000-0300-000003000000}" name="Revenus" totalsRowFunction="custom" dataDxfId="487" totalsRowDxfId="486">
      <totalsRowFormula>SUBTOTAL(9,Tableau44616264554617021[Revenus])</totalsRowFormula>
    </tableColumn>
    <tableColumn id="4" xr3:uid="{00000000-0010-0000-0300-000004000000}" name="Dépenses" totalsRowFunction="custom" dataDxfId="485" totalsRowDxfId="484">
      <totalsRowFormula>SUBTOTAL(9,Tableau44616264554617021[Dépenses])</totalsRowFormula>
    </tableColumn>
  </tableColumns>
  <tableStyleInfo name="TableStyleMedium3 3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au44616264554617022" displayName="Tableau44616264554617022" ref="I28:L37" totalsRowCount="1" headerRowDxfId="483" dataDxfId="482" totalsRowDxfId="481">
  <autoFilter ref="I28:L36" xr:uid="{00000000-0009-0000-0100-000005000000}"/>
  <tableColumns count="4">
    <tableColumn id="1" xr3:uid="{00000000-0010-0000-0400-000001000000}" name="Détail" totalsRowLabel="Total" dataDxfId="480" totalsRowDxfId="479"/>
    <tableColumn id="2" xr3:uid="{00000000-0010-0000-0400-000002000000}" name="Date" dataDxfId="478" totalsRowDxfId="477"/>
    <tableColumn id="3" xr3:uid="{00000000-0010-0000-0400-000003000000}" name="Revenus" totalsRowFunction="custom" dataDxfId="476" totalsRowDxfId="475">
      <totalsRowFormula>SUBTOTAL(9,Tableau44616264554617022[Revenus])</totalsRowFormula>
    </tableColumn>
    <tableColumn id="4" xr3:uid="{00000000-0010-0000-0400-000004000000}" name="Dépenses" totalsRowFunction="custom" dataDxfId="474" totalsRowDxfId="473">
      <totalsRowFormula>SUBTOTAL(9,Tableau44616264554617022[Dépenses])</totalsRowFormula>
    </tableColumn>
  </tableColumns>
  <tableStyleInfo name="TableStyleMedium3 3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au44616264554617023" displayName="Tableau44616264554617023" ref="C40:F49" totalsRowCount="1" headerRowDxfId="472" dataDxfId="471" totalsRowDxfId="470">
  <autoFilter ref="C40:F48" xr:uid="{00000000-0009-0000-0100-000006000000}"/>
  <tableColumns count="4">
    <tableColumn id="1" xr3:uid="{00000000-0010-0000-0500-000001000000}" name="Détail" totalsRowLabel="Total" dataDxfId="469" totalsRowDxfId="468"/>
    <tableColumn id="2" xr3:uid="{00000000-0010-0000-0500-000002000000}" name="Date" dataDxfId="467" totalsRowDxfId="466"/>
    <tableColumn id="3" xr3:uid="{00000000-0010-0000-0500-000003000000}" name="Revenus" totalsRowFunction="custom" dataDxfId="465" totalsRowDxfId="464">
      <totalsRowFormula>SUBTOTAL(9,Tableau44616264554617023[Revenus])</totalsRowFormula>
    </tableColumn>
    <tableColumn id="4" xr3:uid="{00000000-0010-0000-0500-000004000000}" name="Dépenses" totalsRowFunction="custom" dataDxfId="463" totalsRowDxfId="462">
      <totalsRowFormula>SUBTOTAL(9,Tableau44616264554617023[Dépenses])</totalsRowFormula>
    </tableColumn>
  </tableColumns>
  <tableStyleInfo name="TableStyleMedium3 3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au44616264554617024" displayName="Tableau44616264554617024" ref="I40:L49" totalsRowCount="1" headerRowDxfId="461" dataDxfId="460" totalsRowDxfId="459">
  <autoFilter ref="I40:L48" xr:uid="{00000000-0009-0000-0100-000007000000}"/>
  <tableColumns count="4">
    <tableColumn id="1" xr3:uid="{00000000-0010-0000-0600-000001000000}" name="Détail" totalsRowLabel="Total" dataDxfId="458" totalsRowDxfId="457"/>
    <tableColumn id="2" xr3:uid="{00000000-0010-0000-0600-000002000000}" name="Date" dataDxfId="456" totalsRowDxfId="455"/>
    <tableColumn id="3" xr3:uid="{00000000-0010-0000-0600-000003000000}" name="Revenus" totalsRowFunction="custom" dataDxfId="454" totalsRowDxfId="453">
      <totalsRowFormula>SUBTOTAL(9,Tableau44616264554617024[Revenus])</totalsRowFormula>
    </tableColumn>
    <tableColumn id="4" xr3:uid="{00000000-0010-0000-0600-000004000000}" name="Dépenses" totalsRowFunction="custom" dataDxfId="452" totalsRowDxfId="451">
      <totalsRowFormula>SUBTOTAL(9,Tableau44616264554617024[Dépenses])</totalsRowFormula>
    </tableColumn>
  </tableColumns>
  <tableStyleInfo name="TableStyleMedium3 3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au44616264554617025" displayName="Tableau44616264554617025" ref="C52:F61" totalsRowCount="1" headerRowDxfId="450" dataDxfId="449" totalsRowDxfId="448">
  <autoFilter ref="C52:F60" xr:uid="{00000000-0009-0000-0100-000008000000}"/>
  <tableColumns count="4">
    <tableColumn id="1" xr3:uid="{00000000-0010-0000-0700-000001000000}" name="Détail" totalsRowLabel="Total" dataDxfId="447" totalsRowDxfId="446"/>
    <tableColumn id="2" xr3:uid="{00000000-0010-0000-0700-000002000000}" name="Date" dataDxfId="445" totalsRowDxfId="444"/>
    <tableColumn id="3" xr3:uid="{00000000-0010-0000-0700-000003000000}" name="Revenus" totalsRowFunction="custom" dataDxfId="443" totalsRowDxfId="442">
      <totalsRowFormula>SUBTOTAL(9,Tableau44616264554617025[Revenus])</totalsRowFormula>
    </tableColumn>
    <tableColumn id="4" xr3:uid="{00000000-0010-0000-0700-000004000000}" name="Dépenses" totalsRowFunction="custom" dataDxfId="441" totalsRowDxfId="440">
      <totalsRowFormula>SUBTOTAL(9,Tableau44616264554617025[Dépenses])</totalsRowFormula>
    </tableColumn>
  </tableColumns>
  <tableStyleInfo name="TableStyleMedium3 3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ableau44616264554617014" displayName="Tableau44616264554617014" ref="I4:L13" totalsRowCount="1" headerRowDxfId="439" dataDxfId="438" totalsRowDxfId="437">
  <autoFilter ref="I4:L12" xr:uid="{00000000-0009-0000-0100-00000B000000}"/>
  <tableColumns count="4">
    <tableColumn id="1" xr3:uid="{00000000-0010-0000-0A00-000001000000}" name="Détail" totalsRowLabel="Total" dataDxfId="436" totalsRowDxfId="435"/>
    <tableColumn id="2" xr3:uid="{00000000-0010-0000-0A00-000002000000}" name="Date" dataDxfId="434" totalsRowDxfId="433"/>
    <tableColumn id="3" xr3:uid="{00000000-0010-0000-0A00-000003000000}" name="Revenus" totalsRowFunction="custom" dataDxfId="432" totalsRowDxfId="431">
      <totalsRowFormula>SUBTOTAL(9,Tableau44616264554617014[Revenus])</totalsRowFormula>
    </tableColumn>
    <tableColumn id="4" xr3:uid="{00000000-0010-0000-0A00-000004000000}" name="Dépenses" totalsRowFunction="custom" dataDxfId="430" totalsRowDxfId="429">
      <totalsRowFormula>SUBTOTAL(9,Tableau44616264554617014[Dépenses])</totalsRowFormula>
    </tableColumn>
  </tableColumns>
  <tableStyleInfo name="TableStyleMedium3 3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ableau413234251586713" displayName="Tableau413234251586713" ref="C4:F13" totalsRowCount="1" headerRowDxfId="428" dataDxfId="427" totalsRowDxfId="426">
  <autoFilter ref="C4:F12" xr:uid="{00000000-0009-0000-0100-00000C000000}"/>
  <tableColumns count="4">
    <tableColumn id="1" xr3:uid="{00000000-0010-0000-0B00-000001000000}" name="Détail" totalsRowLabel="Total" dataDxfId="425" totalsRowDxfId="424"/>
    <tableColumn id="2" xr3:uid="{00000000-0010-0000-0B00-000002000000}" name="Date" dataDxfId="423" totalsRowDxfId="422"/>
    <tableColumn id="3" xr3:uid="{00000000-0010-0000-0B00-000003000000}" name="Revenus" totalsRowFunction="custom" dataDxfId="421" totalsRowDxfId="420">
      <totalsRowFormula>SUBTOTAL(9,Tableau413234251586713[Revenus])</totalsRowFormula>
    </tableColumn>
    <tableColumn id="4" xr3:uid="{00000000-0010-0000-0B00-000004000000}" name="Dépenses" totalsRowFunction="custom" dataDxfId="419" totalsRowDxfId="418">
      <totalsRowFormula>SUBTOTAL(9,Tableau413234251586713[Dépenses])</totalsRowFormula>
    </tableColumn>
  </tableColumns>
  <tableStyleInfo name="TableStyleMedium3 3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ableau44616264554617015" displayName="Tableau44616264554617015" ref="C16:F25" totalsRowCount="1" headerRowDxfId="417" dataDxfId="416" totalsRowDxfId="415">
  <autoFilter ref="C16:F24" xr:uid="{00000000-0009-0000-0100-00000D000000}"/>
  <tableColumns count="4">
    <tableColumn id="1" xr3:uid="{00000000-0010-0000-0C00-000001000000}" name="Détail" totalsRowLabel="Total" dataDxfId="414" totalsRowDxfId="413"/>
    <tableColumn id="2" xr3:uid="{00000000-0010-0000-0C00-000002000000}" name="Date" dataDxfId="412" totalsRowDxfId="411"/>
    <tableColumn id="3" xr3:uid="{00000000-0010-0000-0C00-000003000000}" name="Revenus" totalsRowFunction="custom" dataDxfId="410" totalsRowDxfId="409">
      <totalsRowFormula>SUBTOTAL(9,Tableau44616264554617015[Revenus])</totalsRowFormula>
    </tableColumn>
    <tableColumn id="4" xr3:uid="{00000000-0010-0000-0C00-000004000000}" name="Dépenses" totalsRowFunction="custom" dataDxfId="408" totalsRowDxfId="407">
      <totalsRowFormula>SUBTOTAL(9,Tableau44616264554617015[Dépenses])</totalsRowFormula>
    </tableColumn>
  </tableColumns>
  <tableStyleInfo name="TableStyleMedium3 3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Tableau4461626455461702015" displayName="Tableau4461626455461702015" ref="I16:L25" totalsRowCount="1" headerRowDxfId="406" dataDxfId="405" totalsRowDxfId="404">
  <autoFilter ref="I16:L24" xr:uid="{00000000-0009-0000-0100-00000E000000}"/>
  <tableColumns count="4">
    <tableColumn id="1" xr3:uid="{00000000-0010-0000-0D00-000001000000}" name="Détail" totalsRowLabel="Total" dataDxfId="403" totalsRowDxfId="402"/>
    <tableColumn id="2" xr3:uid="{00000000-0010-0000-0D00-000002000000}" name="Date" dataDxfId="401" totalsRowDxfId="400"/>
    <tableColumn id="3" xr3:uid="{00000000-0010-0000-0D00-000003000000}" name="Revenus" totalsRowFunction="custom" dataDxfId="399" totalsRowDxfId="398">
      <totalsRowFormula>SUBTOTAL(9,Tableau4461626455461702015[Revenus])</totalsRowFormula>
    </tableColumn>
    <tableColumn id="4" xr3:uid="{00000000-0010-0000-0D00-000004000000}" name="Dépenses" totalsRowFunction="custom" dataDxfId="397" totalsRowDxfId="396">
      <totalsRowFormula>SUBTOTAL(9,Tableau4461626455461702015[Dépenses])</totalsRowFormula>
    </tableColumn>
  </tableColumns>
  <tableStyleInfo name="TableStyleMedium3 3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Tableau4461626455461702116" displayName="Tableau4461626455461702116" ref="C28:F37" totalsRowCount="1" headerRowDxfId="395" dataDxfId="394" totalsRowDxfId="393">
  <autoFilter ref="C28:F36" xr:uid="{00000000-0009-0000-0100-00000F000000}"/>
  <tableColumns count="4">
    <tableColumn id="1" xr3:uid="{00000000-0010-0000-0E00-000001000000}" name="Détail" totalsRowLabel="Total" dataDxfId="392" totalsRowDxfId="391"/>
    <tableColumn id="2" xr3:uid="{00000000-0010-0000-0E00-000002000000}" name="Date" dataDxfId="390" totalsRowDxfId="389"/>
    <tableColumn id="3" xr3:uid="{00000000-0010-0000-0E00-000003000000}" name="Revenus" totalsRowFunction="custom" dataDxfId="388" totalsRowDxfId="387">
      <totalsRowFormula>SUBTOTAL(9,Tableau4461626455461702116[Revenus])</totalsRowFormula>
    </tableColumn>
    <tableColumn id="4" xr3:uid="{00000000-0010-0000-0E00-000004000000}" name="Dépenses" totalsRowFunction="custom" dataDxfId="386" totalsRowDxfId="385">
      <totalsRowFormula>SUBTOTAL(9,Tableau4461626455461702116[Dépenses])</totalsRowFormula>
    </tableColumn>
  </tableColumns>
  <tableStyleInfo name="TableStyleMedium3 3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Tableau4461626455461702217" displayName="Tableau4461626455461702217" ref="I28:L37" totalsRowCount="1" headerRowDxfId="384" dataDxfId="383" totalsRowDxfId="382">
  <autoFilter ref="I28:L36" xr:uid="{00000000-0009-0000-0100-000010000000}"/>
  <tableColumns count="4">
    <tableColumn id="1" xr3:uid="{00000000-0010-0000-0F00-000001000000}" name="Détail" totalsRowLabel="Total" dataDxfId="381" totalsRowDxfId="380"/>
    <tableColumn id="2" xr3:uid="{00000000-0010-0000-0F00-000002000000}" name="Date" dataDxfId="379" totalsRowDxfId="378"/>
    <tableColumn id="3" xr3:uid="{00000000-0010-0000-0F00-000003000000}" name="Revenus" totalsRowFunction="custom" dataDxfId="377" totalsRowDxfId="376">
      <totalsRowFormula>SUBTOTAL(9,Tableau4461626455461702217[Revenus])</totalsRowFormula>
    </tableColumn>
    <tableColumn id="4" xr3:uid="{00000000-0010-0000-0F00-000004000000}" name="Dépenses" totalsRowFunction="custom" dataDxfId="375" totalsRowDxfId="374">
      <totalsRowFormula>SUBTOTAL(9,Tableau4461626455461702217[Dépenses])</totalsRowFormula>
    </tableColumn>
  </tableColumns>
  <tableStyleInfo name="TableStyleMedium3 3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Tableau4461626455461702318" displayName="Tableau4461626455461702318" ref="C40:F49" totalsRowCount="1" headerRowDxfId="373" dataDxfId="372" totalsRowDxfId="371">
  <autoFilter ref="C40:F48" xr:uid="{00000000-0009-0000-0100-000011000000}"/>
  <tableColumns count="4">
    <tableColumn id="1" xr3:uid="{00000000-0010-0000-1000-000001000000}" name="Détail" totalsRowLabel="Total" dataDxfId="370" totalsRowDxfId="369"/>
    <tableColumn id="2" xr3:uid="{00000000-0010-0000-1000-000002000000}" name="Date" dataDxfId="368" totalsRowDxfId="367"/>
    <tableColumn id="3" xr3:uid="{00000000-0010-0000-1000-000003000000}" name="Revenus" totalsRowFunction="custom" dataDxfId="366" totalsRowDxfId="365">
      <totalsRowFormula>SUBTOTAL(9,Tableau4461626455461702318[Revenus])</totalsRowFormula>
    </tableColumn>
    <tableColumn id="4" xr3:uid="{00000000-0010-0000-1000-000004000000}" name="Dépenses" totalsRowFunction="custom" dataDxfId="364" totalsRowDxfId="363">
      <totalsRowFormula>SUBTOTAL(9,Tableau4461626455461702318[Dépenses])</totalsRowFormula>
    </tableColumn>
  </tableColumns>
  <tableStyleInfo name="TableStyleMedium3 3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1000000}" name="Tableau4461626455461702419" displayName="Tableau4461626455461702419" ref="I40:L49" totalsRowCount="1" headerRowDxfId="362" dataDxfId="361" totalsRowDxfId="360">
  <autoFilter ref="I40:L48" xr:uid="{00000000-0009-0000-0100-000012000000}"/>
  <tableColumns count="4">
    <tableColumn id="1" xr3:uid="{00000000-0010-0000-1100-000001000000}" name="Détail" totalsRowLabel="Total" dataDxfId="359" totalsRowDxfId="358"/>
    <tableColumn id="2" xr3:uid="{00000000-0010-0000-1100-000002000000}" name="Date" dataDxfId="357" totalsRowDxfId="356"/>
    <tableColumn id="3" xr3:uid="{00000000-0010-0000-1100-000003000000}" name="Revenus" totalsRowFunction="custom" dataDxfId="355" totalsRowDxfId="354">
      <totalsRowFormula>SUBTOTAL(9,Tableau4461626455461702419[Revenus])</totalsRowFormula>
    </tableColumn>
    <tableColumn id="4" xr3:uid="{00000000-0010-0000-1100-000004000000}" name="Dépenses" totalsRowFunction="custom" dataDxfId="353" totalsRowDxfId="352">
      <totalsRowFormula>SUBTOTAL(9,Tableau4461626455461702419[Dépenses])</totalsRowFormula>
    </tableColumn>
  </tableColumns>
  <tableStyleInfo name="TableStyleMedium3 3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2000000}" name="Tableau4461626455461702520" displayName="Tableau4461626455461702520" ref="C52:F61" totalsRowCount="1" headerRowDxfId="351" dataDxfId="350" totalsRowDxfId="349">
  <autoFilter ref="C52:F60" xr:uid="{00000000-0009-0000-0100-000013000000}"/>
  <tableColumns count="4">
    <tableColumn id="1" xr3:uid="{00000000-0010-0000-1200-000001000000}" name="Détail" totalsRowLabel="Total" dataDxfId="348" totalsRowDxfId="347"/>
    <tableColumn id="2" xr3:uid="{00000000-0010-0000-1200-000002000000}" name="Date" dataDxfId="346" totalsRowDxfId="345"/>
    <tableColumn id="3" xr3:uid="{00000000-0010-0000-1200-000003000000}" name="Revenus" totalsRowFunction="custom" dataDxfId="344" totalsRowDxfId="343">
      <totalsRowFormula>SUBTOTAL(9,Tableau4461626455461702520[Revenus])</totalsRowFormula>
    </tableColumn>
    <tableColumn id="4" xr3:uid="{00000000-0010-0000-1200-000004000000}" name="Dépenses" totalsRowFunction="custom" dataDxfId="342" totalsRowDxfId="341">
      <totalsRowFormula>SUBTOTAL(9,Tableau4461626455461702520[Dépenses])</totalsRowFormula>
    </tableColumn>
  </tableColumns>
  <tableStyleInfo name="TableStyleMedium3 3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3000000}" name="Tableau4461626455461701423" displayName="Tableau4461626455461701423" ref="I4:L13" totalsRowCount="1" headerRowDxfId="340" dataDxfId="339" totalsRowDxfId="338">
  <autoFilter ref="I4:L12" xr:uid="{00000000-0009-0000-0100-000014000000}"/>
  <tableColumns count="4">
    <tableColumn id="1" xr3:uid="{00000000-0010-0000-1300-000001000000}" name="Détail" totalsRowLabel="Total" dataDxfId="337" totalsRowDxfId="336"/>
    <tableColumn id="2" xr3:uid="{00000000-0010-0000-1300-000002000000}" name="Date" dataDxfId="335" totalsRowDxfId="334"/>
    <tableColumn id="3" xr3:uid="{00000000-0010-0000-1300-000003000000}" name="Revenus" totalsRowFunction="custom" dataDxfId="333" totalsRowDxfId="332">
      <totalsRowFormula>SUBTOTAL(9,Tableau4461626455461701423[Revenus])</totalsRowFormula>
    </tableColumn>
    <tableColumn id="4" xr3:uid="{00000000-0010-0000-1300-000004000000}" name="Dépenses" totalsRowFunction="custom" dataDxfId="331" totalsRowDxfId="330">
      <totalsRowFormula>SUBTOTAL(9,Tableau4461626455461701423[Dépenses])</totalsRowFormula>
    </tableColumn>
  </tableColumns>
  <tableStyleInfo name="TableStyleMedium3 3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14000000}" name="Tableau41323425158672233" displayName="Tableau41323425158672233" ref="C4:F15" totalsRowCount="1" headerRowDxfId="329" dataDxfId="328" totalsRowDxfId="327">
  <autoFilter ref="C4:F14" xr:uid="{00000000-0009-0000-0100-000015000000}"/>
  <tableColumns count="4">
    <tableColumn id="1" xr3:uid="{00000000-0010-0000-1400-000001000000}" name="Détail" totalsRowLabel="Total" dataDxfId="326" totalsRowDxfId="325"/>
    <tableColumn id="2" xr3:uid="{00000000-0010-0000-1400-000002000000}" name="Date" dataDxfId="324" totalsRowDxfId="323"/>
    <tableColumn id="3" xr3:uid="{00000000-0010-0000-1400-000003000000}" name="Revenus" totalsRowFunction="custom" dataDxfId="322" totalsRowDxfId="321">
      <totalsRowFormula>SUBTOTAL(9,Tableau41323425158672233[Revenus])</totalsRowFormula>
    </tableColumn>
    <tableColumn id="4" xr3:uid="{00000000-0010-0000-1400-000004000000}" name="Dépenses" totalsRowFunction="custom" dataDxfId="320" totalsRowDxfId="319">
      <totalsRowFormula>SUBTOTAL(9,Tableau41323425158672233[Dépenses])</totalsRowFormula>
    </tableColumn>
  </tableColumns>
  <tableStyleInfo name="TableStyleMedium3 3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15000000}" name="Tableau446162645546170143241" displayName="Tableau446162645546170143241" ref="I4:L13" totalsRowCount="1" headerRowDxfId="318" dataDxfId="317" totalsRowDxfId="316">
  <autoFilter ref="I4:L12" xr:uid="{00000000-0009-0000-0100-000016000000}"/>
  <tableColumns count="4">
    <tableColumn id="1" xr3:uid="{00000000-0010-0000-1500-000001000000}" name="Détail" totalsRowLabel="Total" dataDxfId="315" totalsRowDxfId="314"/>
    <tableColumn id="2" xr3:uid="{00000000-0010-0000-1500-000002000000}" name="Date" dataDxfId="313" totalsRowDxfId="312"/>
    <tableColumn id="3" xr3:uid="{00000000-0010-0000-1500-000003000000}" name="Revenus" totalsRowFunction="custom" dataDxfId="311" totalsRowDxfId="310">
      <totalsRowFormula>SUBTOTAL(9,Tableau446162645546170143241[Revenus])</totalsRowFormula>
    </tableColumn>
    <tableColumn id="4" xr3:uid="{00000000-0010-0000-1500-000004000000}" name="Dépenses" totalsRowFunction="custom" dataDxfId="309" totalsRowDxfId="308">
      <totalsRowFormula>SUBTOTAL(9,Tableau446162645546170143241[Dépenses])</totalsRowFormula>
    </tableColumn>
  </tableColumns>
  <tableStyleInfo name="TableStyleMedium3 3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16000000}" name="Tableau4461626455461702834" displayName="Tableau4461626455461702834" ref="C18:F27" totalsRowCount="1" headerRowDxfId="307" dataDxfId="306" totalsRowDxfId="305">
  <autoFilter ref="C18:F26" xr:uid="{00000000-0009-0000-0100-000017000000}"/>
  <tableColumns count="4">
    <tableColumn id="1" xr3:uid="{00000000-0010-0000-1600-000001000000}" name="Détail" totalsRowLabel="Total" dataDxfId="304" totalsRowDxfId="303"/>
    <tableColumn id="2" xr3:uid="{00000000-0010-0000-1600-000002000000}" name="Date" dataDxfId="302" totalsRowDxfId="301"/>
    <tableColumn id="3" xr3:uid="{00000000-0010-0000-1600-000003000000}" name="Revenus" totalsRowFunction="custom" dataDxfId="300" totalsRowDxfId="299">
      <totalsRowFormula>SUBTOTAL(9,Tableau4461626455461702834[Revenus])</totalsRowFormula>
    </tableColumn>
    <tableColumn id="4" xr3:uid="{00000000-0010-0000-1600-000004000000}" name="Dépenses" totalsRowFunction="custom" dataDxfId="298" totalsRowDxfId="297">
      <totalsRowFormula>SUBTOTAL(9,Tableau4461626455461702834[Dépenses])</totalsRowFormula>
    </tableColumn>
  </tableColumns>
  <tableStyleInfo name="TableStyleMedium3 3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17000000}" name="Tableau413234251586722" displayName="Tableau413234251586722" ref="C4:F13" totalsRowCount="1" headerRowDxfId="296" dataDxfId="295" totalsRowDxfId="294">
  <autoFilter ref="C4:F12" xr:uid="{00000000-0009-0000-0100-000018000000}"/>
  <tableColumns count="4">
    <tableColumn id="1" xr3:uid="{00000000-0010-0000-1700-000001000000}" name="Détail" totalsRowLabel="Total" dataDxfId="293" totalsRowDxfId="292"/>
    <tableColumn id="2" xr3:uid="{00000000-0010-0000-1700-000002000000}" name="Date" dataDxfId="291" totalsRowDxfId="290"/>
    <tableColumn id="3" xr3:uid="{00000000-0010-0000-1700-000003000000}" name="Revenus" totalsRowFunction="custom" dataDxfId="289" totalsRowDxfId="288">
      <totalsRowFormula>SUBTOTAL(9,Tableau413234251586722[Revenus])</totalsRowFormula>
    </tableColumn>
    <tableColumn id="4" xr3:uid="{00000000-0010-0000-1700-000004000000}" name="Dépenses" totalsRowFunction="custom" dataDxfId="287" totalsRowDxfId="286">
      <totalsRowFormula>SUBTOTAL(9,Tableau413234251586722[Dépenses])</totalsRowFormula>
    </tableColumn>
  </tableColumns>
  <tableStyleInfo name="TableStyleMedium3 3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00000000-000C-0000-FFFF-FFFF18000000}" name="Tableau44616264554617028" displayName="Tableau44616264554617028" ref="C16:F25" totalsRowCount="1" headerRowDxfId="285" dataDxfId="284" totalsRowDxfId="283">
  <autoFilter ref="C16:F24" xr:uid="{00000000-0009-0000-0100-000019000000}"/>
  <tableColumns count="4">
    <tableColumn id="1" xr3:uid="{00000000-0010-0000-1800-000001000000}" name="Détail" totalsRowLabel="Total" dataDxfId="282" totalsRowDxfId="281"/>
    <tableColumn id="2" xr3:uid="{00000000-0010-0000-1800-000002000000}" name="Date" dataDxfId="280" totalsRowDxfId="279"/>
    <tableColumn id="3" xr3:uid="{00000000-0010-0000-1800-000003000000}" name="Revenus" totalsRowFunction="custom" dataDxfId="278" totalsRowDxfId="277">
      <totalsRowFormula>SUBTOTAL(9,Tableau44616264554617028[Revenus])</totalsRowFormula>
    </tableColumn>
    <tableColumn id="4" xr3:uid="{00000000-0010-0000-1800-000004000000}" name="Dépenses" totalsRowFunction="custom" dataDxfId="276" totalsRowDxfId="275">
      <totalsRowFormula>SUBTOTAL(9,Tableau44616264554617028[Dépenses])</totalsRowFormula>
    </tableColumn>
  </tableColumns>
  <tableStyleInfo name="TableStyleMedium3 3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00000000-000C-0000-FFFF-FFFF19000000}" name="Tableau4461626455461702024" displayName="Tableau4461626455461702024" ref="I16:L25" totalsRowCount="1" headerRowDxfId="274" dataDxfId="273" totalsRowDxfId="272">
  <autoFilter ref="I16:L24" xr:uid="{00000000-0009-0000-0100-00001A000000}"/>
  <tableColumns count="4">
    <tableColumn id="1" xr3:uid="{00000000-0010-0000-1900-000001000000}" name="Détail" totalsRowLabel="Total" dataDxfId="271" totalsRowDxfId="270"/>
    <tableColumn id="2" xr3:uid="{00000000-0010-0000-1900-000002000000}" name="Date" dataDxfId="269" totalsRowDxfId="268"/>
    <tableColumn id="3" xr3:uid="{00000000-0010-0000-1900-000003000000}" name="Revenus" totalsRowFunction="custom" dataDxfId="267" totalsRowDxfId="266">
      <totalsRowFormula>SUBTOTAL(9,Tableau4461626455461702024[Revenus])</totalsRowFormula>
    </tableColumn>
    <tableColumn id="4" xr3:uid="{00000000-0010-0000-1900-000004000000}" name="Dépenses" totalsRowFunction="custom" dataDxfId="265" totalsRowDxfId="264">
      <totalsRowFormula>SUBTOTAL(9,Tableau4461626455461702024[Dépenses])</totalsRowFormula>
    </tableColumn>
  </tableColumns>
  <tableStyleInfo name="TableStyleMedium3 3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00000000-000C-0000-FFFF-FFFF1A000000}" name="Tableau4461626455461702125" displayName="Tableau4461626455461702125" ref="C28:F37" totalsRowCount="1" headerRowDxfId="263" dataDxfId="262" totalsRowDxfId="261">
  <autoFilter ref="C28:F36" xr:uid="{00000000-0009-0000-0100-00001B000000}"/>
  <tableColumns count="4">
    <tableColumn id="1" xr3:uid="{00000000-0010-0000-1A00-000001000000}" name="Détail" totalsRowLabel="Total" dataDxfId="260" totalsRowDxfId="259"/>
    <tableColumn id="2" xr3:uid="{00000000-0010-0000-1A00-000002000000}" name="Date" dataDxfId="258" totalsRowDxfId="257"/>
    <tableColumn id="3" xr3:uid="{00000000-0010-0000-1A00-000003000000}" name="Revenus" totalsRowFunction="custom" dataDxfId="256" totalsRowDxfId="255">
      <totalsRowFormula>SUBTOTAL(9,Tableau4461626455461702125[Revenus])</totalsRowFormula>
    </tableColumn>
    <tableColumn id="4" xr3:uid="{00000000-0010-0000-1A00-000004000000}" name="Dépenses" totalsRowFunction="custom" dataDxfId="254" totalsRowDxfId="253">
      <totalsRowFormula>SUBTOTAL(9,Tableau4461626455461702125[Dépenses])</totalsRowFormula>
    </tableColumn>
  </tableColumns>
  <tableStyleInfo name="TableStyleMedium3 3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00000000-000C-0000-FFFF-FFFF1B000000}" name="Tableau4461626455461702226" displayName="Tableau4461626455461702226" ref="I28:L37" totalsRowCount="1" headerRowDxfId="252" dataDxfId="251" totalsRowDxfId="250">
  <autoFilter ref="I28:L36" xr:uid="{00000000-0009-0000-0100-00001C000000}"/>
  <tableColumns count="4">
    <tableColumn id="1" xr3:uid="{00000000-0010-0000-1B00-000001000000}" name="Détail" totalsRowLabel="Total" dataDxfId="249" totalsRowDxfId="248"/>
    <tableColumn id="2" xr3:uid="{00000000-0010-0000-1B00-000002000000}" name="Date" dataDxfId="247" totalsRowDxfId="246"/>
    <tableColumn id="3" xr3:uid="{00000000-0010-0000-1B00-000003000000}" name="Revenus" totalsRowFunction="custom" dataDxfId="245" totalsRowDxfId="244">
      <totalsRowFormula>SUBTOTAL(9,Tableau4461626455461702226[Revenus])</totalsRowFormula>
    </tableColumn>
    <tableColumn id="4" xr3:uid="{00000000-0010-0000-1B00-000004000000}" name="Dépenses" totalsRowFunction="custom" dataDxfId="243" totalsRowDxfId="242">
      <totalsRowFormula>SUBTOTAL(9,Tableau4461626455461702226[Dépenses])</totalsRowFormula>
    </tableColumn>
  </tableColumns>
  <tableStyleInfo name="TableStyleMedium3 3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00000000-000C-0000-FFFF-FFFF1C000000}" name="Tableau4461626455461702327" displayName="Tableau4461626455461702327" ref="C40:F49" totalsRowCount="1" headerRowDxfId="241" dataDxfId="240" totalsRowDxfId="239">
  <autoFilter ref="C40:F48" xr:uid="{00000000-0009-0000-0100-00001D000000}"/>
  <tableColumns count="4">
    <tableColumn id="1" xr3:uid="{00000000-0010-0000-1C00-000001000000}" name="Détail" totalsRowLabel="Total" dataDxfId="238" totalsRowDxfId="237"/>
    <tableColumn id="2" xr3:uid="{00000000-0010-0000-1C00-000002000000}" name="Date" dataDxfId="236" totalsRowDxfId="235"/>
    <tableColumn id="3" xr3:uid="{00000000-0010-0000-1C00-000003000000}" name="Revenus" totalsRowFunction="custom" dataDxfId="234" totalsRowDxfId="233">
      <totalsRowFormula>SUBTOTAL(9,Tableau4461626455461702327[Revenus])</totalsRowFormula>
    </tableColumn>
    <tableColumn id="4" xr3:uid="{00000000-0010-0000-1C00-000004000000}" name="Dépenses" totalsRowFunction="custom" dataDxfId="232" totalsRowDxfId="231">
      <totalsRowFormula>SUBTOTAL(9,Tableau4461626455461702327[Dépenses])</totalsRowFormula>
    </tableColumn>
  </tableColumns>
  <tableStyleInfo name="TableStyleMedium3 3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00000000-000C-0000-FFFF-FFFF1D000000}" name="Tableau4461626455461702428" displayName="Tableau4461626455461702428" ref="I40:L49" totalsRowCount="1" headerRowDxfId="230" dataDxfId="229" totalsRowDxfId="228">
  <autoFilter ref="I40:L48" xr:uid="{00000000-0009-0000-0100-00001E000000}"/>
  <tableColumns count="4">
    <tableColumn id="1" xr3:uid="{00000000-0010-0000-1D00-000001000000}" name="Détail" totalsRowLabel="Total" dataDxfId="227" totalsRowDxfId="226"/>
    <tableColumn id="2" xr3:uid="{00000000-0010-0000-1D00-000002000000}" name="Date" dataDxfId="225" totalsRowDxfId="224"/>
    <tableColumn id="3" xr3:uid="{00000000-0010-0000-1D00-000003000000}" name="Revenus" totalsRowFunction="custom" dataDxfId="223" totalsRowDxfId="222">
      <totalsRowFormula>SUBTOTAL(9,Tableau4461626455461702428[Revenus])</totalsRowFormula>
    </tableColumn>
    <tableColumn id="4" xr3:uid="{00000000-0010-0000-1D00-000004000000}" name="Dépenses" totalsRowFunction="custom" dataDxfId="221" totalsRowDxfId="220">
      <totalsRowFormula>SUBTOTAL(9,Tableau4461626455461702428[Dépenses])</totalsRowFormula>
    </tableColumn>
  </tableColumns>
  <tableStyleInfo name="TableStyleMedium3 3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00000000-000C-0000-FFFF-FFFF1E000000}" name="Tableau4461626455461702529" displayName="Tableau4461626455461702529" ref="C52:F61" totalsRowCount="1" headerRowDxfId="219" dataDxfId="218" totalsRowDxfId="217">
  <autoFilter ref="C52:F60" xr:uid="{00000000-0009-0000-0100-00001F000000}"/>
  <tableColumns count="4">
    <tableColumn id="1" xr3:uid="{00000000-0010-0000-1E00-000001000000}" name="Détail" totalsRowLabel="Total" dataDxfId="216" totalsRowDxfId="215"/>
    <tableColumn id="2" xr3:uid="{00000000-0010-0000-1E00-000002000000}" name="Date" dataDxfId="214" totalsRowDxfId="213"/>
    <tableColumn id="3" xr3:uid="{00000000-0010-0000-1E00-000003000000}" name="Revenus" totalsRowFunction="custom" dataDxfId="212" totalsRowDxfId="211">
      <totalsRowFormula>SUBTOTAL(9,Tableau4461626455461702529[Revenus])</totalsRowFormula>
    </tableColumn>
    <tableColumn id="4" xr3:uid="{00000000-0010-0000-1E00-000004000000}" name="Dépenses" totalsRowFunction="custom" dataDxfId="210" totalsRowDxfId="209">
      <totalsRowFormula>SUBTOTAL(9,Tableau4461626455461702529[Dépenses])</totalsRowFormula>
    </tableColumn>
  </tableColumns>
  <tableStyleInfo name="TableStyleMedium3 3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0000000-000C-0000-FFFF-FFFF1F000000}" name="Tableau4461626455461701432" displayName="Tableau4461626455461701432" ref="I4:L13" totalsRowCount="1" headerRowDxfId="208" dataDxfId="207" totalsRowDxfId="206">
  <autoFilter ref="I4:L12" xr:uid="{00000000-0009-0000-0100-000020000000}"/>
  <tableColumns count="4">
    <tableColumn id="1" xr3:uid="{00000000-0010-0000-1F00-000001000000}" name="Détail" totalsRowLabel="Total" dataDxfId="205" totalsRowDxfId="204"/>
    <tableColumn id="2" xr3:uid="{00000000-0010-0000-1F00-000002000000}" name="Date" dataDxfId="203" totalsRowDxfId="202"/>
    <tableColumn id="3" xr3:uid="{00000000-0010-0000-1F00-000003000000}" name="Revenus" totalsRowFunction="custom" dataDxfId="201" totalsRowDxfId="200">
      <totalsRowFormula>SUBTOTAL(9,Tableau4461626455461701432[Revenus])</totalsRowFormula>
    </tableColumn>
    <tableColumn id="4" xr3:uid="{00000000-0010-0000-1F00-000004000000}" name="Dépenses" totalsRowFunction="custom" dataDxfId="199" totalsRowDxfId="198">
      <totalsRowFormula>SUBTOTAL(9,Tableau4461626455461701432[Dépenses])</totalsRowFormula>
    </tableColumn>
  </tableColumns>
  <tableStyleInfo name="TableStyleMedium3 3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00000000-000C-0000-FFFF-FFFF26000000}" name="Tableau41323425158672251" displayName="Tableau41323425158672251" ref="C4:F13" totalsRowCount="1" headerRowDxfId="197" dataDxfId="196" totalsRowDxfId="195">
  <autoFilter ref="C4:F12" xr:uid="{00000000-0009-0000-0100-000027000000}"/>
  <tableColumns count="4">
    <tableColumn id="1" xr3:uid="{00000000-0010-0000-2600-000001000000}" name="Détail" totalsRowLabel="Total" dataDxfId="194" totalsRowDxfId="193"/>
    <tableColumn id="2" xr3:uid="{00000000-0010-0000-2600-000002000000}" name="Date" dataDxfId="192" totalsRowDxfId="191"/>
    <tableColumn id="3" xr3:uid="{00000000-0010-0000-2600-000003000000}" name="Revenus" totalsRowFunction="custom" dataDxfId="190" totalsRowDxfId="189">
      <totalsRowFormula>SUBTOTAL(9,Tableau41323425158672251[Revenus])</totalsRowFormula>
    </tableColumn>
    <tableColumn id="4" xr3:uid="{00000000-0010-0000-2600-000004000000}" name="Dépenses" totalsRowFunction="custom" dataDxfId="188" totalsRowDxfId="187">
      <totalsRowFormula>SUBTOTAL(9,Tableau41323425158672251[Dépenses])</totalsRowFormula>
    </tableColumn>
  </tableColumns>
  <tableStyleInfo name="TableStyleMedium3 3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00000000-000C-0000-FFFF-FFFF27000000}" name="Tableau4461626455461702852" displayName="Tableau4461626455461702852" ref="C16:F25" totalsRowCount="1" headerRowDxfId="186" dataDxfId="185" totalsRowDxfId="184">
  <autoFilter ref="C16:F24" xr:uid="{00000000-0009-0000-0100-000028000000}"/>
  <tableColumns count="4">
    <tableColumn id="1" xr3:uid="{00000000-0010-0000-2700-000001000000}" name="Détail" totalsRowLabel="Total" dataDxfId="183" totalsRowDxfId="182"/>
    <tableColumn id="2" xr3:uid="{00000000-0010-0000-2700-000002000000}" name="Date" dataDxfId="181" totalsRowDxfId="180"/>
    <tableColumn id="3" xr3:uid="{00000000-0010-0000-2700-000003000000}" name="Revenus" totalsRowFunction="custom" dataDxfId="179" totalsRowDxfId="178">
      <totalsRowFormula>SUBTOTAL(9,Tableau4461626455461702852[Revenus])</totalsRowFormula>
    </tableColumn>
    <tableColumn id="4" xr3:uid="{00000000-0010-0000-2700-000004000000}" name="Dépenses" totalsRowFunction="custom" dataDxfId="177" totalsRowDxfId="176">
      <totalsRowFormula>SUBTOTAL(9,Tableau4461626455461702852[Dépenses])</totalsRowFormula>
    </tableColumn>
  </tableColumns>
  <tableStyleInfo name="TableStyleMedium3 3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00000000-000C-0000-FFFF-FFFF28000000}" name="Tableau446162645546170202453" displayName="Tableau446162645546170202453" ref="I16:L25" totalsRowCount="1" headerRowDxfId="175" dataDxfId="174" totalsRowDxfId="173">
  <autoFilter ref="I16:L24" xr:uid="{00000000-0009-0000-0100-000029000000}"/>
  <tableColumns count="4">
    <tableColumn id="1" xr3:uid="{00000000-0010-0000-2800-000001000000}" name="Détail" totalsRowLabel="Total" dataDxfId="172" totalsRowDxfId="171"/>
    <tableColumn id="2" xr3:uid="{00000000-0010-0000-2800-000002000000}" name="Date" dataDxfId="170" totalsRowDxfId="169"/>
    <tableColumn id="3" xr3:uid="{00000000-0010-0000-2800-000003000000}" name="Revenus" totalsRowFunction="custom" dataDxfId="168" totalsRowDxfId="167">
      <totalsRowFormula>SUBTOTAL(9,Tableau446162645546170202453[Revenus])</totalsRowFormula>
    </tableColumn>
    <tableColumn id="4" xr3:uid="{00000000-0010-0000-2800-000004000000}" name="Dépenses" totalsRowFunction="custom" dataDxfId="166" totalsRowDxfId="165">
      <totalsRowFormula>SUBTOTAL(9,Tableau446162645546170202453[Dépenses])</totalsRowFormula>
    </tableColumn>
  </tableColumns>
  <tableStyleInfo name="TableStyleMedium3 3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00000000-000C-0000-FFFF-FFFF29000000}" name="Tableau446162645546170212554" displayName="Tableau446162645546170212554" ref="C28:F37" totalsRowCount="1" headerRowDxfId="164" dataDxfId="163" totalsRowDxfId="162">
  <autoFilter ref="C28:F36" xr:uid="{00000000-0009-0000-0100-00002A000000}"/>
  <tableColumns count="4">
    <tableColumn id="1" xr3:uid="{00000000-0010-0000-2900-000001000000}" name="Détail" totalsRowLabel="Total" dataDxfId="161" totalsRowDxfId="160"/>
    <tableColumn id="2" xr3:uid="{00000000-0010-0000-2900-000002000000}" name="Date" dataDxfId="159" totalsRowDxfId="158"/>
    <tableColumn id="3" xr3:uid="{00000000-0010-0000-2900-000003000000}" name="Revenus" totalsRowFunction="custom" dataDxfId="157" totalsRowDxfId="156">
      <totalsRowFormula>SUBTOTAL(9,Tableau446162645546170212554[Revenus])</totalsRowFormula>
    </tableColumn>
    <tableColumn id="4" xr3:uid="{00000000-0010-0000-2900-000004000000}" name="Dépenses" totalsRowFunction="custom" dataDxfId="155" totalsRowDxfId="154">
      <totalsRowFormula>SUBTOTAL(9,Tableau446162645546170212554[Dépenses])</totalsRowFormula>
    </tableColumn>
  </tableColumns>
  <tableStyleInfo name="TableStyleMedium3 3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00000000-000C-0000-FFFF-FFFF2A000000}" name="Tableau446162645546170222655" displayName="Tableau446162645546170222655" ref="I28:L37" totalsRowCount="1" headerRowDxfId="153" dataDxfId="152" totalsRowDxfId="151">
  <autoFilter ref="I28:L36" xr:uid="{00000000-0009-0000-0100-00002B000000}"/>
  <tableColumns count="4">
    <tableColumn id="1" xr3:uid="{00000000-0010-0000-2A00-000001000000}" name="Détail" totalsRowLabel="Total" dataDxfId="150" totalsRowDxfId="149"/>
    <tableColumn id="2" xr3:uid="{00000000-0010-0000-2A00-000002000000}" name="Date" dataDxfId="148" totalsRowDxfId="147"/>
    <tableColumn id="3" xr3:uid="{00000000-0010-0000-2A00-000003000000}" name="Revenus" totalsRowFunction="custom" dataDxfId="146" totalsRowDxfId="145">
      <totalsRowFormula>SUBTOTAL(9,Tableau446162645546170222655[Revenus])</totalsRowFormula>
    </tableColumn>
    <tableColumn id="4" xr3:uid="{00000000-0010-0000-2A00-000004000000}" name="Dépenses" totalsRowFunction="custom" dataDxfId="144" totalsRowDxfId="143">
      <totalsRowFormula>SUBTOTAL(9,Tableau446162645546170222655[Dépenses])</totalsRowFormula>
    </tableColumn>
  </tableColumns>
  <tableStyleInfo name="TableStyleMedium3 3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00000000-000C-0000-FFFF-FFFF2C000000}" name="Tableau446162645546170143259" displayName="Tableau446162645546170143259" ref="I4:L13" totalsRowCount="1" headerRowDxfId="142" dataDxfId="141" totalsRowDxfId="140">
  <autoFilter ref="I4:L12" xr:uid="{00000000-0009-0000-0100-00002D000000}"/>
  <tableColumns count="4">
    <tableColumn id="1" xr3:uid="{00000000-0010-0000-2C00-000001000000}" name="Détail" totalsRowLabel="Total" dataDxfId="139" totalsRowDxfId="138"/>
    <tableColumn id="2" xr3:uid="{00000000-0010-0000-2C00-000002000000}" name="Date" dataDxfId="137" totalsRowDxfId="136"/>
    <tableColumn id="3" xr3:uid="{00000000-0010-0000-2C00-000003000000}" name="Revenus" totalsRowFunction="custom" dataDxfId="135" totalsRowDxfId="134">
      <totalsRowFormula>SUBTOTAL(9,Tableau446162645546170143259[Revenus])</totalsRowFormula>
    </tableColumn>
    <tableColumn id="4" xr3:uid="{00000000-0010-0000-2C00-000004000000}" name="Dépenses" totalsRowFunction="custom" dataDxfId="133" totalsRowDxfId="132">
      <totalsRowFormula>SUBTOTAL(9,Tableau446162645546170143259[Dépenses])</totalsRowFormula>
    </tableColumn>
  </tableColumns>
  <tableStyleInfo name="TableStyleMedium3 3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00000000-000C-0000-FFFF-FFFF2D000000}" name="Tableau4132342515867224260" displayName="Tableau4132342515867224260" ref="C4:F13" totalsRowCount="1" headerRowDxfId="131" dataDxfId="130" totalsRowDxfId="129">
  <autoFilter ref="C4:F12" xr:uid="{00000000-0009-0000-0100-00002E000000}"/>
  <tableColumns count="4">
    <tableColumn id="1" xr3:uid="{00000000-0010-0000-2D00-000001000000}" name="Détail" totalsRowLabel="Total" dataDxfId="128" totalsRowDxfId="127"/>
    <tableColumn id="2" xr3:uid="{00000000-0010-0000-2D00-000002000000}" name="Date" dataDxfId="126" totalsRowDxfId="125"/>
    <tableColumn id="3" xr3:uid="{00000000-0010-0000-2D00-000003000000}" name="Revenus" totalsRowFunction="custom" dataDxfId="124" totalsRowDxfId="123">
      <totalsRowFormula>SUBTOTAL(9,Tableau4132342515867224260[Revenus])</totalsRowFormula>
    </tableColumn>
    <tableColumn id="4" xr3:uid="{00000000-0010-0000-2D00-000004000000}" name="Dépenses" totalsRowFunction="custom" dataDxfId="122" totalsRowDxfId="121">
      <totalsRowFormula>SUBTOTAL(9,Tableau4132342515867224260[Dépenses])</totalsRowFormula>
    </tableColumn>
  </tableColumns>
  <tableStyleInfo name="TableStyleMedium3 3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00000000-000C-0000-FFFF-FFFF2E000000}" name="Tableau446162645546170284361" displayName="Tableau446162645546170284361" ref="C16:F25" totalsRowCount="1" headerRowDxfId="120" dataDxfId="119" totalsRowDxfId="118">
  <autoFilter ref="C16:F24" xr:uid="{00000000-0009-0000-0100-00002F000000}"/>
  <tableColumns count="4">
    <tableColumn id="1" xr3:uid="{00000000-0010-0000-2E00-000001000000}" name="Détail" totalsRowLabel="Total" dataDxfId="117" totalsRowDxfId="116"/>
    <tableColumn id="2" xr3:uid="{00000000-0010-0000-2E00-000002000000}" name="Date" dataDxfId="115" totalsRowDxfId="114"/>
    <tableColumn id="3" xr3:uid="{00000000-0010-0000-2E00-000003000000}" name="Revenus" totalsRowFunction="custom" dataDxfId="113" totalsRowDxfId="112">
      <totalsRowFormula>SUBTOTAL(9,Tableau446162645546170284361[Revenus])</totalsRowFormula>
    </tableColumn>
    <tableColumn id="4" xr3:uid="{00000000-0010-0000-2E00-000004000000}" name="Dépenses" totalsRowFunction="custom" dataDxfId="111" totalsRowDxfId="110">
      <totalsRowFormula>SUBTOTAL(9,Tableau446162645546170284361[Dépenses])</totalsRowFormula>
    </tableColumn>
  </tableColumns>
  <tableStyleInfo name="TableStyleMedium3 3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00000000-000C-0000-FFFF-FFFF2F000000}" name="Tableau44616264554617020244462" displayName="Tableau44616264554617020244462" ref="I16:L25" totalsRowCount="1" headerRowDxfId="109" dataDxfId="108" totalsRowDxfId="107">
  <autoFilter ref="I16:L24" xr:uid="{00000000-0009-0000-0100-000030000000}"/>
  <tableColumns count="4">
    <tableColumn id="1" xr3:uid="{00000000-0010-0000-2F00-000001000000}" name="Détail" totalsRowLabel="Total" dataDxfId="106" totalsRowDxfId="105"/>
    <tableColumn id="2" xr3:uid="{00000000-0010-0000-2F00-000002000000}" name="Date" dataDxfId="104" totalsRowDxfId="103"/>
    <tableColumn id="3" xr3:uid="{00000000-0010-0000-2F00-000003000000}" name="Revenus" totalsRowFunction="custom" dataDxfId="102" totalsRowDxfId="101">
      <totalsRowFormula>SUBTOTAL(9,Tableau44616264554617020244462[Revenus])</totalsRowFormula>
    </tableColumn>
    <tableColumn id="4" xr3:uid="{00000000-0010-0000-2F00-000004000000}" name="Dépenses" totalsRowFunction="custom" dataDxfId="100" totalsRowDxfId="99">
      <totalsRowFormula>SUBTOTAL(9,Tableau44616264554617020244462[Dépenses])</totalsRowFormula>
    </tableColumn>
  </tableColumns>
  <tableStyleInfo name="TableStyleMedium3 3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00000000-000C-0000-FFFF-FFFF30000000}" name="Tableau44616264554617014325065" displayName="Tableau44616264554617014325065" ref="I4:L13" totalsRowCount="1" headerRowDxfId="98" dataDxfId="97" totalsRowDxfId="96">
  <autoFilter ref="I4:L12" xr:uid="{00000000-0009-0000-0100-000031000000}"/>
  <tableColumns count="4">
    <tableColumn id="1" xr3:uid="{00000000-0010-0000-3000-000001000000}" name="Détail" totalsRowLabel="Total" dataDxfId="95" totalsRowDxfId="94"/>
    <tableColumn id="2" xr3:uid="{00000000-0010-0000-3000-000002000000}" name="Date" dataDxfId="93" totalsRowDxfId="92"/>
    <tableColumn id="3" xr3:uid="{00000000-0010-0000-3000-000003000000}" name="Revenus" totalsRowFunction="custom" dataDxfId="91" totalsRowDxfId="90">
      <totalsRowFormula>SUBTOTAL(9,Tableau44616264554617014325065[Revenus])</totalsRowFormula>
    </tableColumn>
    <tableColumn id="4" xr3:uid="{00000000-0010-0000-3000-000004000000}" name="Dépenses" totalsRowFunction="custom" dataDxfId="89" totalsRowDxfId="88">
      <totalsRowFormula>SUBTOTAL(9,Tableau44616264554617014325065[Dépenses])</totalsRowFormula>
    </tableColumn>
  </tableColumns>
  <tableStyleInfo name="TableStyleMedium3 3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00000000-000C-0000-FFFF-FFFF31000000}" name="Tableau4132342515867224266" displayName="Tableau4132342515867224266" ref="C4:F13" totalsRowCount="1" headerRowDxfId="87" dataDxfId="86" totalsRowDxfId="85">
  <autoFilter ref="C4:F12" xr:uid="{00000000-0009-0000-0100-000032000000}"/>
  <tableColumns count="4">
    <tableColumn id="1" xr3:uid="{00000000-0010-0000-3100-000001000000}" name="Détail" totalsRowLabel="Total" dataDxfId="84" totalsRowDxfId="83"/>
    <tableColumn id="2" xr3:uid="{00000000-0010-0000-3100-000002000000}" name="Date" dataDxfId="82" totalsRowDxfId="81"/>
    <tableColumn id="3" xr3:uid="{00000000-0010-0000-3100-000003000000}" name="Revenus" totalsRowFunction="custom" dataDxfId="80" totalsRowDxfId="79">
      <totalsRowFormula>SUBTOTAL(9,Tableau4132342515867224266[Revenus])</totalsRowFormula>
    </tableColumn>
    <tableColumn id="4" xr3:uid="{00000000-0010-0000-3100-000004000000}" name="Dépenses" totalsRowFunction="custom" dataDxfId="78" totalsRowDxfId="77">
      <totalsRowFormula>SUBTOTAL(9,Tableau4132342515867224266[Dépenses])</totalsRowFormula>
    </tableColumn>
  </tableColumns>
  <tableStyleInfo name="TableStyleMedium3 3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00000000-000C-0000-FFFF-FFFF35000000}" name="Tableau44616264554617014325071" displayName="Tableau44616264554617014325071" ref="I4:L13" totalsRowCount="1" headerRowDxfId="76" dataDxfId="75" totalsRowDxfId="74">
  <autoFilter ref="I4:L12" xr:uid="{00000000-0009-0000-0100-000036000000}"/>
  <tableColumns count="4">
    <tableColumn id="1" xr3:uid="{00000000-0010-0000-3500-000001000000}" name="Détail" totalsRowLabel="Total" dataDxfId="73" totalsRowDxfId="72"/>
    <tableColumn id="2" xr3:uid="{00000000-0010-0000-3500-000002000000}" name="Date" dataDxfId="71" totalsRowDxfId="70"/>
    <tableColumn id="3" xr3:uid="{00000000-0010-0000-3500-000003000000}" name="Revenus" totalsRowFunction="custom" dataDxfId="69" totalsRowDxfId="68">
      <totalsRowFormula>SUBTOTAL(9,Tableau44616264554617014325071[Revenus])</totalsRowFormula>
    </tableColumn>
    <tableColumn id="4" xr3:uid="{00000000-0010-0000-3500-000004000000}" name="Dépenses" totalsRowFunction="custom" dataDxfId="67" totalsRowDxfId="66">
      <totalsRowFormula>SUBTOTAL(9,Tableau44616264554617014325071[Dépenses])</totalsRowFormula>
    </tableColumn>
  </tableColumns>
  <tableStyleInfo name="TableStyleMedium3 3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00000000-000C-0000-FFFF-FFFF38000000}" name="Tableau41323425158672242607276" displayName="Tableau41323425158672242607276" ref="C4:F13" totalsRowCount="1" headerRowDxfId="65" dataDxfId="64" totalsRowDxfId="63">
  <autoFilter ref="C4:F12" xr:uid="{00000000-0009-0000-0100-000039000000}"/>
  <tableColumns count="4">
    <tableColumn id="1" xr3:uid="{00000000-0010-0000-3800-000001000000}" name="Détail" totalsRowLabel="Total" dataDxfId="62" totalsRowDxfId="61"/>
    <tableColumn id="2" xr3:uid="{00000000-0010-0000-3800-000002000000}" name="Date" dataDxfId="60" totalsRowDxfId="59"/>
    <tableColumn id="3" xr3:uid="{00000000-0010-0000-3800-000003000000}" name="Revenus" totalsRowFunction="custom" dataDxfId="58" totalsRowDxfId="57">
      <totalsRowFormula>SUBTOTAL(9,Tableau41323425158672242607276[Revenus])</totalsRowFormula>
    </tableColumn>
    <tableColumn id="4" xr3:uid="{00000000-0010-0000-3800-000004000000}" name="Dépenses" totalsRowFunction="custom" dataDxfId="56" totalsRowDxfId="55">
      <totalsRowFormula>SUBTOTAL(9,Tableau41323425158672242607276[Dépenses])</totalsRowFormula>
    </tableColumn>
  </tableColumns>
  <tableStyleInfo name="TableStyleMedium3 3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xr:uid="{00000000-000C-0000-FFFF-FFFF39000000}" name="Tableau446162645546170143250657577" displayName="Tableau446162645546170143250657577" ref="I4:L13" totalsRowCount="1" headerRowDxfId="54" dataDxfId="53" totalsRowDxfId="52">
  <autoFilter ref="I4:L12" xr:uid="{00000000-0009-0000-0100-00003A000000}"/>
  <tableColumns count="4">
    <tableColumn id="1" xr3:uid="{00000000-0010-0000-3900-000001000000}" name="Détail" totalsRowLabel="Total" dataDxfId="51" totalsRowDxfId="50"/>
    <tableColumn id="2" xr3:uid="{00000000-0010-0000-3900-000002000000}" name="Date" dataDxfId="49" totalsRowDxfId="48"/>
    <tableColumn id="3" xr3:uid="{00000000-0010-0000-3900-000003000000}" name="Revenus" totalsRowFunction="custom" dataDxfId="47" totalsRowDxfId="46">
      <totalsRowFormula>SUBTOTAL(9,Tableau446162645546170143250657577[Revenus])</totalsRowFormula>
    </tableColumn>
    <tableColumn id="4" xr3:uid="{00000000-0010-0000-3900-000004000000}" name="Dépenses" totalsRowFunction="custom" dataDxfId="45" totalsRowDxfId="44">
      <totalsRowFormula>SUBTOTAL(9,Tableau446162645546170143250657577[Dépenses])</totalsRowFormula>
    </tableColumn>
  </tableColumns>
  <tableStyleInfo name="TableStyleMedium3 3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00000000-000C-0000-FFFF-FFFF3A000000}" name="Tableau413234251586722426078" displayName="Tableau413234251586722426078" ref="C4:F13" totalsRowCount="1" headerRowDxfId="43" dataDxfId="42" totalsRowDxfId="41">
  <autoFilter ref="C4:F12" xr:uid="{00000000-0009-0000-0100-00003B000000}"/>
  <tableColumns count="4">
    <tableColumn id="1" xr3:uid="{00000000-0010-0000-3A00-000001000000}" name="Détail" totalsRowLabel="Total" dataDxfId="40" totalsRowDxfId="39"/>
    <tableColumn id="2" xr3:uid="{00000000-0010-0000-3A00-000002000000}" name="Date" dataDxfId="38" totalsRowDxfId="37"/>
    <tableColumn id="3" xr3:uid="{00000000-0010-0000-3A00-000003000000}" name="Revenus" totalsRowFunction="custom" dataDxfId="36" totalsRowDxfId="35">
      <totalsRowFormula>SUBTOTAL(9,Tableau413234251586722426078[Revenus])</totalsRowFormula>
    </tableColumn>
    <tableColumn id="4" xr3:uid="{00000000-0010-0000-3A00-000004000000}" name="Dépenses" totalsRowFunction="custom" dataDxfId="34" totalsRowDxfId="33">
      <totalsRowFormula>SUBTOTAL(9,Tableau413234251586722426078[Dépenses])</totalsRowFormula>
    </tableColumn>
  </tableColumns>
  <tableStyleInfo name="TableStyleMedium3 3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" xr:uid="{00000000-000C-0000-FFFF-FFFF3B000000}" name="Tableau44616264554617028436179" displayName="Tableau44616264554617028436179" ref="C16:F25" totalsRowCount="1" headerRowDxfId="32" dataDxfId="31" totalsRowDxfId="30">
  <autoFilter ref="C16:F24" xr:uid="{00000000-0009-0000-0100-00003C000000}"/>
  <tableColumns count="4">
    <tableColumn id="1" xr3:uid="{00000000-0010-0000-3B00-000001000000}" name="Détail" totalsRowLabel="Total" dataDxfId="29" totalsRowDxfId="28"/>
    <tableColumn id="2" xr3:uid="{00000000-0010-0000-3B00-000002000000}" name="Date" dataDxfId="27" totalsRowDxfId="26"/>
    <tableColumn id="3" xr3:uid="{00000000-0010-0000-3B00-000003000000}" name="Revenus" totalsRowFunction="custom" dataDxfId="25" totalsRowDxfId="24">
      <totalsRowFormula>SUBTOTAL(9,Tableau44616264554617028436179[Revenus])</totalsRowFormula>
    </tableColumn>
    <tableColumn id="4" xr3:uid="{00000000-0010-0000-3B00-000004000000}" name="Dépenses" totalsRowFunction="custom" dataDxfId="23" totalsRowDxfId="22">
      <totalsRowFormula>SUBTOTAL(9,Tableau44616264554617028436179[Dépenses])</totalsRowFormula>
    </tableColumn>
  </tableColumns>
  <tableStyleInfo name="TableStyleMedium3 3"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" xr:uid="{00000000-000C-0000-FFFF-FFFF3C000000}" name="Tableau4461626455461702024446280" displayName="Tableau4461626455461702024446280" ref="I16:L25" totalsRowCount="1" headerRowDxfId="21" dataDxfId="20" totalsRowDxfId="19">
  <autoFilter ref="I16:L24" xr:uid="{00000000-0009-0000-0100-00003D000000}"/>
  <tableColumns count="4">
    <tableColumn id="1" xr3:uid="{00000000-0010-0000-3C00-000001000000}" name="Détail" totalsRowLabel="Total" dataDxfId="18" totalsRowDxfId="17"/>
    <tableColumn id="2" xr3:uid="{00000000-0010-0000-3C00-000002000000}" name="Date" dataDxfId="16" totalsRowDxfId="15"/>
    <tableColumn id="3" xr3:uid="{00000000-0010-0000-3C00-000003000000}" name="Revenus" totalsRowFunction="custom" dataDxfId="14" totalsRowDxfId="13">
      <totalsRowFormula>SUBTOTAL(9,Tableau4461626455461702024446280[Revenus])</totalsRowFormula>
    </tableColumn>
    <tableColumn id="4" xr3:uid="{00000000-0010-0000-3C00-000004000000}" name="Dépenses" totalsRowFunction="custom" dataDxfId="12" totalsRowDxfId="11">
      <totalsRowFormula>SUBTOTAL(9,Tableau4461626455461702024446280[Dépenses])</totalsRowFormula>
    </tableColumn>
  </tableColumns>
  <tableStyleInfo name="TableStyleMedium3 3"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2" xr:uid="{00000000-000C-0000-FFFF-FFFF3D000000}" name="Tableau4461626455461701432506581" displayName="Tableau4461626455461701432506581" ref="I4:L13" totalsRowCount="1" headerRowDxfId="10" dataDxfId="9" totalsRowDxfId="8">
  <autoFilter ref="I4:L12" xr:uid="{00000000-0009-0000-0100-00003E000000}"/>
  <tableColumns count="4">
    <tableColumn id="1" xr3:uid="{00000000-0010-0000-3D00-000001000000}" name="Détail" totalsRowLabel="Total" dataDxfId="7" totalsRowDxfId="6"/>
    <tableColumn id="2" xr3:uid="{00000000-0010-0000-3D00-000002000000}" name="Date" dataDxfId="5" totalsRowDxfId="4"/>
    <tableColumn id="3" xr3:uid="{00000000-0010-0000-3D00-000003000000}" name="Revenus" totalsRowFunction="custom" dataDxfId="3" totalsRowDxfId="2">
      <totalsRowFormula>SUBTOTAL(9,Tableau4461626455461701432506581[Revenus])</totalsRowFormula>
    </tableColumn>
    <tableColumn id="4" xr3:uid="{00000000-0010-0000-3D00-000004000000}" name="Dépenses" totalsRowFunction="custom" dataDxfId="1" totalsRowDxfId="0">
      <totalsRowFormula>SUBTOTAL(9,Tableau4461626455461701432506581[Dépenses])</totalsRowFormula>
    </tableColumn>
  </tableColumns>
  <tableStyleInfo name="TableStyleMedium3 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7.xml"/><Relationship Id="rId3" Type="http://schemas.openxmlformats.org/officeDocument/2006/relationships/table" Target="../tables/table12.xml"/><Relationship Id="rId7" Type="http://schemas.openxmlformats.org/officeDocument/2006/relationships/table" Target="../tables/table16.xml"/><Relationship Id="rId2" Type="http://schemas.openxmlformats.org/officeDocument/2006/relationships/table" Target="../tables/table11.xml"/><Relationship Id="rId1" Type="http://schemas.openxmlformats.org/officeDocument/2006/relationships/table" Target="../tables/table10.xml"/><Relationship Id="rId6" Type="http://schemas.openxmlformats.org/officeDocument/2006/relationships/table" Target="../tables/table15.xml"/><Relationship Id="rId5" Type="http://schemas.openxmlformats.org/officeDocument/2006/relationships/table" Target="../tables/table14.xml"/><Relationship Id="rId4" Type="http://schemas.openxmlformats.org/officeDocument/2006/relationships/table" Target="../tables/table13.xml"/><Relationship Id="rId9" Type="http://schemas.openxmlformats.org/officeDocument/2006/relationships/table" Target="../tables/table18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1.xml"/><Relationship Id="rId2" Type="http://schemas.openxmlformats.org/officeDocument/2006/relationships/table" Target="../tables/table20.xml"/><Relationship Id="rId1" Type="http://schemas.openxmlformats.org/officeDocument/2006/relationships/table" Target="../tables/table19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table" Target="../tables/table29.xml"/><Relationship Id="rId3" Type="http://schemas.openxmlformats.org/officeDocument/2006/relationships/table" Target="../tables/table24.xml"/><Relationship Id="rId7" Type="http://schemas.openxmlformats.org/officeDocument/2006/relationships/table" Target="../tables/table28.xml"/><Relationship Id="rId2" Type="http://schemas.openxmlformats.org/officeDocument/2006/relationships/table" Target="../tables/table23.xml"/><Relationship Id="rId1" Type="http://schemas.openxmlformats.org/officeDocument/2006/relationships/table" Target="../tables/table22.xml"/><Relationship Id="rId6" Type="http://schemas.openxmlformats.org/officeDocument/2006/relationships/table" Target="../tables/table27.xml"/><Relationship Id="rId5" Type="http://schemas.openxmlformats.org/officeDocument/2006/relationships/table" Target="../tables/table26.xml"/><Relationship Id="rId4" Type="http://schemas.openxmlformats.org/officeDocument/2006/relationships/table" Target="../tables/table25.xml"/><Relationship Id="rId9" Type="http://schemas.openxmlformats.org/officeDocument/2006/relationships/table" Target="../tables/table30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3.xml"/><Relationship Id="rId2" Type="http://schemas.openxmlformats.org/officeDocument/2006/relationships/table" Target="../tables/table32.xml"/><Relationship Id="rId1" Type="http://schemas.openxmlformats.org/officeDocument/2006/relationships/table" Target="../tables/table31.xml"/><Relationship Id="rId6" Type="http://schemas.openxmlformats.org/officeDocument/2006/relationships/table" Target="../tables/table36.xml"/><Relationship Id="rId5" Type="http://schemas.openxmlformats.org/officeDocument/2006/relationships/table" Target="../tables/table35.xml"/><Relationship Id="rId4" Type="http://schemas.openxmlformats.org/officeDocument/2006/relationships/table" Target="../tables/table3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9.xml"/><Relationship Id="rId2" Type="http://schemas.openxmlformats.org/officeDocument/2006/relationships/table" Target="../tables/table38.xml"/><Relationship Id="rId1" Type="http://schemas.openxmlformats.org/officeDocument/2006/relationships/table" Target="../tables/table37.xml"/><Relationship Id="rId4" Type="http://schemas.openxmlformats.org/officeDocument/2006/relationships/table" Target="../tables/table40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2.xml"/><Relationship Id="rId1" Type="http://schemas.openxmlformats.org/officeDocument/2006/relationships/table" Target="../tables/table41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4.xml"/><Relationship Id="rId1" Type="http://schemas.openxmlformats.org/officeDocument/2006/relationships/table" Target="../tables/table43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7.xml"/><Relationship Id="rId2" Type="http://schemas.openxmlformats.org/officeDocument/2006/relationships/table" Target="../tables/table46.xml"/><Relationship Id="rId1" Type="http://schemas.openxmlformats.org/officeDocument/2006/relationships/table" Target="../tables/table45.xml"/><Relationship Id="rId4" Type="http://schemas.openxmlformats.org/officeDocument/2006/relationships/table" Target="../tables/table4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3"/>
  <sheetViews>
    <sheetView zoomScale="66" workbookViewId="0">
      <selection activeCell="G56" sqref="G56"/>
    </sheetView>
  </sheetViews>
  <sheetFormatPr baseColWidth="10" defaultColWidth="9.06640625" defaultRowHeight="14.25" x14ac:dyDescent="0.45"/>
  <cols>
    <col min="1" max="1" width="5.9296875" style="15" customWidth="1"/>
    <col min="2" max="2" width="9.06640625" style="15" customWidth="1"/>
    <col min="3" max="3" width="35.6640625" style="15" customWidth="1"/>
    <col min="4" max="4" width="20.53125" style="15" customWidth="1"/>
    <col min="5" max="5" width="20.59765625" style="15" customWidth="1"/>
    <col min="6" max="6" width="20.6640625" style="15" customWidth="1"/>
    <col min="7" max="8" width="9.06640625" style="15" customWidth="1"/>
    <col min="9" max="9" width="35.6640625" style="15" customWidth="1"/>
    <col min="10" max="11" width="20.59765625" style="15" customWidth="1"/>
    <col min="12" max="12" width="20.6640625" style="15" customWidth="1"/>
    <col min="13" max="23" width="9.06640625" style="15" customWidth="1"/>
    <col min="24" max="16384" width="9.06640625" style="15"/>
  </cols>
  <sheetData>
    <row r="1" spans="1:12" ht="28.15" customHeight="1" thickBot="1" x14ac:dyDescent="0.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33.4" customHeight="1" thickBot="1" x14ac:dyDescent="0.5">
      <c r="A2" s="1"/>
      <c r="B2" s="1"/>
      <c r="C2" s="30" t="s">
        <v>8</v>
      </c>
      <c r="D2" s="31"/>
      <c r="E2" s="31"/>
      <c r="F2" s="31"/>
      <c r="G2" s="1"/>
      <c r="H2" s="2"/>
      <c r="I2" s="19" t="s">
        <v>1</v>
      </c>
      <c r="J2" s="18"/>
      <c r="K2" s="17"/>
      <c r="L2" s="17"/>
    </row>
    <row r="3" spans="1:12" x14ac:dyDescent="0.4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 ht="18" customHeight="1" x14ac:dyDescent="0.45">
      <c r="A4" s="1"/>
      <c r="B4" s="32" t="s">
        <v>9</v>
      </c>
      <c r="C4" s="3" t="s">
        <v>2</v>
      </c>
      <c r="D4" s="3" t="s">
        <v>3</v>
      </c>
      <c r="E4" s="3" t="s">
        <v>4</v>
      </c>
      <c r="F4" s="3" t="s">
        <v>5</v>
      </c>
      <c r="G4" s="1"/>
      <c r="H4" s="32" t="s">
        <v>10</v>
      </c>
      <c r="I4" s="3" t="s">
        <v>2</v>
      </c>
      <c r="J4" s="3" t="s">
        <v>3</v>
      </c>
      <c r="K4" s="3" t="s">
        <v>4</v>
      </c>
      <c r="L4" s="3" t="s">
        <v>5</v>
      </c>
    </row>
    <row r="5" spans="1:12" x14ac:dyDescent="0.45">
      <c r="A5" s="1"/>
      <c r="B5" s="31"/>
      <c r="C5" s="4"/>
      <c r="D5" s="5"/>
      <c r="E5" s="6"/>
      <c r="F5" s="6"/>
      <c r="G5" s="1"/>
      <c r="H5" s="31"/>
      <c r="I5" s="4"/>
      <c r="J5" s="5"/>
      <c r="K5" s="7"/>
      <c r="L5" s="7"/>
    </row>
    <row r="6" spans="1:12" x14ac:dyDescent="0.45">
      <c r="A6" s="1"/>
      <c r="B6" s="31"/>
      <c r="C6" s="4"/>
      <c r="D6" s="5"/>
      <c r="E6" s="6"/>
      <c r="F6" s="6"/>
      <c r="G6" s="1"/>
      <c r="H6" s="31"/>
      <c r="I6" s="4"/>
      <c r="J6" s="5"/>
      <c r="K6" s="6"/>
      <c r="L6" s="6"/>
    </row>
    <row r="7" spans="1:12" x14ac:dyDescent="0.45">
      <c r="A7" s="1"/>
      <c r="B7" s="31"/>
      <c r="C7" s="4"/>
      <c r="D7" s="5"/>
      <c r="E7" s="6"/>
      <c r="F7" s="6"/>
      <c r="G7" s="1"/>
      <c r="H7" s="31"/>
      <c r="I7" s="4"/>
      <c r="J7" s="5"/>
      <c r="K7" s="6"/>
      <c r="L7" s="6"/>
    </row>
    <row r="8" spans="1:12" x14ac:dyDescent="0.45">
      <c r="A8" s="1"/>
      <c r="B8" s="31"/>
      <c r="C8" s="4"/>
      <c r="D8" s="5"/>
      <c r="E8" s="6"/>
      <c r="F8" s="6"/>
      <c r="G8" s="1"/>
      <c r="H8" s="31"/>
      <c r="I8" s="4"/>
      <c r="J8" s="5"/>
      <c r="K8" s="6"/>
      <c r="L8" s="6"/>
    </row>
    <row r="9" spans="1:12" x14ac:dyDescent="0.45">
      <c r="A9" s="1"/>
      <c r="B9" s="31"/>
      <c r="C9" s="4"/>
      <c r="D9" s="5"/>
      <c r="E9" s="6"/>
      <c r="F9" s="6"/>
      <c r="G9" s="1"/>
      <c r="H9" s="31"/>
      <c r="I9" s="4"/>
      <c r="J9" s="5"/>
      <c r="K9" s="6"/>
      <c r="L9" s="6"/>
    </row>
    <row r="10" spans="1:12" x14ac:dyDescent="0.45">
      <c r="A10" s="1"/>
      <c r="B10" s="31"/>
      <c r="C10" s="4"/>
      <c r="D10" s="5"/>
      <c r="E10" s="6"/>
      <c r="F10" s="6"/>
      <c r="G10" s="1"/>
      <c r="H10" s="31"/>
      <c r="I10" s="4"/>
      <c r="J10" s="5"/>
      <c r="K10" s="6"/>
      <c r="L10" s="6"/>
    </row>
    <row r="11" spans="1:12" x14ac:dyDescent="0.45">
      <c r="A11" s="1"/>
      <c r="B11" s="31"/>
      <c r="C11" s="4"/>
      <c r="D11" s="5"/>
      <c r="E11" s="6"/>
      <c r="F11" s="6"/>
      <c r="G11" s="1"/>
      <c r="H11" s="31"/>
      <c r="I11" s="4"/>
      <c r="J11" s="5"/>
      <c r="K11" s="6"/>
      <c r="L11" s="6"/>
    </row>
    <row r="12" spans="1:12" x14ac:dyDescent="0.45">
      <c r="A12" s="1"/>
      <c r="B12" s="31"/>
      <c r="C12" s="4"/>
      <c r="D12" s="5"/>
      <c r="E12" s="6"/>
      <c r="F12" s="6"/>
      <c r="G12" s="1"/>
      <c r="H12" s="31"/>
      <c r="I12" s="4"/>
      <c r="J12" s="5"/>
      <c r="K12" s="6"/>
      <c r="L12" s="6"/>
    </row>
    <row r="13" spans="1:12" x14ac:dyDescent="0.45">
      <c r="A13" s="1"/>
      <c r="B13" s="31"/>
      <c r="C13" s="4" t="s">
        <v>6</v>
      </c>
      <c r="D13" s="8"/>
      <c r="E13" s="6">
        <f>SUBTOTAL(9,Tableau4132342515867[Revenus])</f>
        <v>0</v>
      </c>
      <c r="F13" s="6">
        <f>SUBTOTAL(9,Tableau4132342515867[Dépenses])</f>
        <v>0</v>
      </c>
      <c r="G13" s="1"/>
      <c r="H13" s="31"/>
      <c r="I13" s="4" t="s">
        <v>6</v>
      </c>
      <c r="J13" s="8"/>
      <c r="K13" s="6">
        <f>SUBTOTAL(9,Tableau44616264554617014[Revenus])</f>
        <v>0</v>
      </c>
      <c r="L13" s="6">
        <f>SUBTOTAL(9,Tableau44616264554617014[Dépenses])</f>
        <v>0</v>
      </c>
    </row>
    <row r="14" spans="1:12" ht="14.65" customHeight="1" x14ac:dyDescent="0.45">
      <c r="A14" s="1"/>
      <c r="B14" s="10"/>
      <c r="C14" s="11"/>
      <c r="D14" s="11"/>
      <c r="E14" s="11"/>
      <c r="F14" s="11"/>
      <c r="G14" s="1"/>
      <c r="H14" s="1"/>
      <c r="I14" s="1"/>
      <c r="J14" s="1"/>
      <c r="K14" s="1"/>
      <c r="L14" s="1"/>
    </row>
    <row r="15" spans="1:12" x14ac:dyDescent="0.45">
      <c r="A15" s="1"/>
      <c r="B15" s="10"/>
      <c r="C15" s="12"/>
      <c r="D15" s="13"/>
      <c r="E15" s="9"/>
      <c r="F15" s="14"/>
      <c r="G15" s="1"/>
      <c r="H15" s="1"/>
      <c r="I15" s="1"/>
      <c r="J15" s="1"/>
      <c r="K15" s="1"/>
      <c r="L15" s="1"/>
    </row>
    <row r="16" spans="1:12" ht="18" customHeight="1" x14ac:dyDescent="0.45">
      <c r="A16" s="1"/>
      <c r="B16" s="32" t="s">
        <v>11</v>
      </c>
      <c r="C16" s="3" t="s">
        <v>2</v>
      </c>
      <c r="D16" s="3" t="s">
        <v>3</v>
      </c>
      <c r="E16" s="3" t="s">
        <v>4</v>
      </c>
      <c r="F16" s="3" t="s">
        <v>5</v>
      </c>
      <c r="G16" s="1"/>
      <c r="H16" s="32" t="s">
        <v>12</v>
      </c>
      <c r="I16" s="3" t="s">
        <v>2</v>
      </c>
      <c r="J16" s="3" t="s">
        <v>3</v>
      </c>
      <c r="K16" s="3" t="s">
        <v>4</v>
      </c>
      <c r="L16" s="3" t="s">
        <v>5</v>
      </c>
    </row>
    <row r="17" spans="1:12" x14ac:dyDescent="0.45">
      <c r="A17" s="1"/>
      <c r="B17" s="31"/>
      <c r="C17" s="4"/>
      <c r="D17" s="5"/>
      <c r="E17" s="7"/>
      <c r="F17" s="7"/>
      <c r="G17" s="1"/>
      <c r="H17" s="31"/>
      <c r="I17" s="4"/>
      <c r="J17" s="5"/>
      <c r="K17" s="7"/>
      <c r="L17" s="7"/>
    </row>
    <row r="18" spans="1:12" x14ac:dyDescent="0.45">
      <c r="A18" s="1"/>
      <c r="B18" s="31"/>
      <c r="C18" s="4"/>
      <c r="D18" s="5"/>
      <c r="E18" s="6"/>
      <c r="F18" s="6"/>
      <c r="G18" s="1"/>
      <c r="H18" s="31"/>
      <c r="I18" s="4"/>
      <c r="J18" s="5"/>
      <c r="K18" s="6"/>
      <c r="L18" s="6"/>
    </row>
    <row r="19" spans="1:12" x14ac:dyDescent="0.45">
      <c r="A19" s="1"/>
      <c r="B19" s="31"/>
      <c r="C19" s="4"/>
      <c r="D19" s="5"/>
      <c r="E19" s="6"/>
      <c r="F19" s="6"/>
      <c r="G19" s="1"/>
      <c r="H19" s="31"/>
      <c r="I19" s="4"/>
      <c r="J19" s="5"/>
      <c r="K19" s="6"/>
      <c r="L19" s="6"/>
    </row>
    <row r="20" spans="1:12" x14ac:dyDescent="0.45">
      <c r="A20" s="1"/>
      <c r="B20" s="31"/>
      <c r="C20" s="4"/>
      <c r="D20" s="5"/>
      <c r="E20" s="6"/>
      <c r="F20" s="6"/>
      <c r="G20" s="1"/>
      <c r="H20" s="31"/>
      <c r="I20" s="4"/>
      <c r="J20" s="5"/>
      <c r="K20" s="6"/>
      <c r="L20" s="6"/>
    </row>
    <row r="21" spans="1:12" x14ac:dyDescent="0.45">
      <c r="A21" s="1"/>
      <c r="B21" s="31"/>
      <c r="C21" s="4"/>
      <c r="D21" s="5"/>
      <c r="E21" s="6"/>
      <c r="F21" s="6"/>
      <c r="G21" s="1"/>
      <c r="H21" s="31"/>
      <c r="I21" s="4"/>
      <c r="J21" s="5"/>
      <c r="K21" s="6"/>
      <c r="L21" s="6"/>
    </row>
    <row r="22" spans="1:12" x14ac:dyDescent="0.45">
      <c r="A22" s="1"/>
      <c r="B22" s="31"/>
      <c r="C22" s="4"/>
      <c r="D22" s="5"/>
      <c r="E22" s="6"/>
      <c r="F22" s="6"/>
      <c r="G22" s="1"/>
      <c r="H22" s="31"/>
      <c r="I22" s="4"/>
      <c r="J22" s="5"/>
      <c r="K22" s="6"/>
      <c r="L22" s="6"/>
    </row>
    <row r="23" spans="1:12" x14ac:dyDescent="0.45">
      <c r="A23" s="1"/>
      <c r="B23" s="31"/>
      <c r="C23" s="4"/>
      <c r="D23" s="5"/>
      <c r="E23" s="6"/>
      <c r="F23" s="6"/>
      <c r="G23" s="1"/>
      <c r="H23" s="31"/>
      <c r="I23" s="4"/>
      <c r="J23" s="5"/>
      <c r="K23" s="6"/>
      <c r="L23" s="6"/>
    </row>
    <row r="24" spans="1:12" x14ac:dyDescent="0.45">
      <c r="A24" s="1"/>
      <c r="B24" s="31"/>
      <c r="C24" s="4"/>
      <c r="D24" s="5"/>
      <c r="E24" s="6"/>
      <c r="F24" s="6"/>
      <c r="G24" s="1"/>
      <c r="H24" s="31"/>
      <c r="I24" s="4"/>
      <c r="J24" s="5"/>
      <c r="K24" s="6"/>
      <c r="L24" s="6"/>
    </row>
    <row r="25" spans="1:12" x14ac:dyDescent="0.45">
      <c r="A25" s="1"/>
      <c r="B25" s="31"/>
      <c r="C25" s="4" t="s">
        <v>6</v>
      </c>
      <c r="D25" s="8"/>
      <c r="E25" s="6">
        <f>SUBTOTAL(9,Tableau446162645546170[Revenus])</f>
        <v>0</v>
      </c>
      <c r="F25" s="6">
        <f>SUBTOTAL(9,Tableau446162645546170[Dépenses])</f>
        <v>0</v>
      </c>
      <c r="G25" s="1"/>
      <c r="H25" s="31"/>
      <c r="I25" s="4" t="s">
        <v>6</v>
      </c>
      <c r="J25" s="8"/>
      <c r="K25" s="6">
        <f>SUBTOTAL(9,Tableau44616264554617020[Revenus])</f>
        <v>0</v>
      </c>
      <c r="L25" s="6">
        <f>SUBTOTAL(9,Tableau44616264554617020[Dépenses])</f>
        <v>0</v>
      </c>
    </row>
    <row r="28" spans="1:12" ht="18" customHeight="1" x14ac:dyDescent="0.45">
      <c r="B28" s="32" t="s">
        <v>13</v>
      </c>
      <c r="C28" s="3" t="s">
        <v>2</v>
      </c>
      <c r="D28" s="3" t="s">
        <v>3</v>
      </c>
      <c r="E28" s="3" t="s">
        <v>4</v>
      </c>
      <c r="F28" s="3" t="s">
        <v>5</v>
      </c>
      <c r="H28" s="32" t="s">
        <v>14</v>
      </c>
      <c r="I28" s="3" t="s">
        <v>2</v>
      </c>
      <c r="J28" s="3" t="s">
        <v>3</v>
      </c>
      <c r="K28" s="3" t="s">
        <v>4</v>
      </c>
      <c r="L28" s="3" t="s">
        <v>5</v>
      </c>
    </row>
    <row r="29" spans="1:12" x14ac:dyDescent="0.45">
      <c r="B29" s="31"/>
      <c r="C29" s="4"/>
      <c r="D29" s="5"/>
      <c r="E29" s="7"/>
      <c r="F29" s="7"/>
      <c r="H29" s="31"/>
      <c r="I29" s="4"/>
      <c r="J29" s="5"/>
      <c r="K29" s="7"/>
      <c r="L29" s="7"/>
    </row>
    <row r="30" spans="1:12" x14ac:dyDescent="0.45">
      <c r="B30" s="31"/>
      <c r="C30" s="4"/>
      <c r="D30" s="5"/>
      <c r="E30" s="6"/>
      <c r="F30" s="6"/>
      <c r="H30" s="31"/>
      <c r="I30" s="4"/>
      <c r="J30" s="5"/>
      <c r="K30" s="6"/>
      <c r="L30" s="6"/>
    </row>
    <row r="31" spans="1:12" x14ac:dyDescent="0.45">
      <c r="B31" s="31"/>
      <c r="C31" s="4"/>
      <c r="D31" s="5"/>
      <c r="E31" s="6"/>
      <c r="F31" s="6"/>
      <c r="H31" s="31"/>
      <c r="I31" s="4"/>
      <c r="J31" s="5"/>
      <c r="K31" s="6"/>
      <c r="L31" s="6"/>
    </row>
    <row r="32" spans="1:12" x14ac:dyDescent="0.45">
      <c r="B32" s="31"/>
      <c r="C32" s="4"/>
      <c r="D32" s="5"/>
      <c r="E32" s="6"/>
      <c r="F32" s="6"/>
      <c r="H32" s="31"/>
      <c r="I32" s="4"/>
      <c r="J32" s="5"/>
      <c r="K32" s="6"/>
      <c r="L32" s="6"/>
    </row>
    <row r="33" spans="2:12" x14ac:dyDescent="0.45">
      <c r="B33" s="31"/>
      <c r="C33" s="4"/>
      <c r="D33" s="5"/>
      <c r="E33" s="6"/>
      <c r="F33" s="6"/>
      <c r="H33" s="31"/>
      <c r="I33" s="4"/>
      <c r="J33" s="5"/>
      <c r="K33" s="6"/>
      <c r="L33" s="6"/>
    </row>
    <row r="34" spans="2:12" x14ac:dyDescent="0.45">
      <c r="B34" s="31"/>
      <c r="C34" s="4"/>
      <c r="D34" s="5"/>
      <c r="E34" s="6"/>
      <c r="F34" s="6"/>
      <c r="H34" s="31"/>
      <c r="I34" s="4"/>
      <c r="J34" s="5"/>
      <c r="K34" s="6"/>
      <c r="L34" s="6"/>
    </row>
    <row r="35" spans="2:12" x14ac:dyDescent="0.45">
      <c r="B35" s="31"/>
      <c r="C35" s="4"/>
      <c r="D35" s="5"/>
      <c r="E35" s="6"/>
      <c r="F35" s="6"/>
      <c r="H35" s="31"/>
      <c r="I35" s="4"/>
      <c r="J35" s="5"/>
      <c r="K35" s="6"/>
      <c r="L35" s="6"/>
    </row>
    <row r="36" spans="2:12" x14ac:dyDescent="0.45">
      <c r="B36" s="31"/>
      <c r="C36" s="4"/>
      <c r="D36" s="5"/>
      <c r="E36" s="6"/>
      <c r="F36" s="6"/>
      <c r="H36" s="31"/>
      <c r="I36" s="4"/>
      <c r="J36" s="5"/>
      <c r="K36" s="6"/>
      <c r="L36" s="6"/>
    </row>
    <row r="37" spans="2:12" x14ac:dyDescent="0.45">
      <c r="B37" s="31"/>
      <c r="C37" s="4" t="s">
        <v>6</v>
      </c>
      <c r="D37" s="8"/>
      <c r="E37" s="6">
        <f>SUBTOTAL(9,Tableau44616264554617021[Revenus])</f>
        <v>0</v>
      </c>
      <c r="F37" s="6">
        <f>SUBTOTAL(9,Tableau44616264554617021[Dépenses])</f>
        <v>0</v>
      </c>
      <c r="H37" s="31"/>
      <c r="I37" s="4" t="s">
        <v>6</v>
      </c>
      <c r="J37" s="8"/>
      <c r="K37" s="6">
        <f>SUBTOTAL(9,Tableau44616264554617022[Revenus])</f>
        <v>0</v>
      </c>
      <c r="L37" s="6">
        <f>SUBTOTAL(9,Tableau44616264554617022[Dépenses])</f>
        <v>0</v>
      </c>
    </row>
    <row r="39" spans="2:12" x14ac:dyDescent="0.45">
      <c r="E39" s="16"/>
    </row>
    <row r="40" spans="2:12" ht="18" customHeight="1" x14ac:dyDescent="0.45">
      <c r="B40" s="32" t="s">
        <v>15</v>
      </c>
      <c r="C40" s="3" t="s">
        <v>2</v>
      </c>
      <c r="D40" s="3" t="s">
        <v>3</v>
      </c>
      <c r="E40" s="3" t="s">
        <v>4</v>
      </c>
      <c r="F40" s="3" t="s">
        <v>5</v>
      </c>
      <c r="H40" s="32" t="s">
        <v>16</v>
      </c>
      <c r="I40" s="3" t="s">
        <v>2</v>
      </c>
      <c r="J40" s="3" t="s">
        <v>3</v>
      </c>
      <c r="K40" s="3" t="s">
        <v>4</v>
      </c>
      <c r="L40" s="3" t="s">
        <v>5</v>
      </c>
    </row>
    <row r="41" spans="2:12" x14ac:dyDescent="0.45">
      <c r="B41" s="31"/>
      <c r="C41" s="4"/>
      <c r="D41" s="5"/>
      <c r="E41" s="7"/>
      <c r="F41" s="7"/>
      <c r="H41" s="31"/>
      <c r="I41" s="4"/>
      <c r="J41" s="5"/>
      <c r="K41" s="7"/>
      <c r="L41" s="7"/>
    </row>
    <row r="42" spans="2:12" x14ac:dyDescent="0.45">
      <c r="B42" s="31"/>
      <c r="C42" s="4"/>
      <c r="D42" s="5"/>
      <c r="E42" s="6"/>
      <c r="F42" s="6"/>
      <c r="H42" s="31"/>
      <c r="I42" s="4"/>
      <c r="J42" s="5"/>
      <c r="K42" s="6"/>
      <c r="L42" s="6"/>
    </row>
    <row r="43" spans="2:12" x14ac:dyDescent="0.45">
      <c r="B43" s="31"/>
      <c r="C43" s="4"/>
      <c r="D43" s="5"/>
      <c r="E43" s="6"/>
      <c r="F43" s="6"/>
      <c r="H43" s="31"/>
      <c r="I43" s="4"/>
      <c r="J43" s="5"/>
      <c r="K43" s="6"/>
      <c r="L43" s="6"/>
    </row>
    <row r="44" spans="2:12" x14ac:dyDescent="0.45">
      <c r="B44" s="31"/>
      <c r="C44" s="4"/>
      <c r="D44" s="5"/>
      <c r="E44" s="6"/>
      <c r="F44" s="6"/>
      <c r="H44" s="31"/>
      <c r="I44" s="4"/>
      <c r="J44" s="5"/>
      <c r="K44" s="6"/>
      <c r="L44" s="6"/>
    </row>
    <row r="45" spans="2:12" x14ac:dyDescent="0.45">
      <c r="B45" s="31"/>
      <c r="C45" s="4"/>
      <c r="D45" s="5"/>
      <c r="E45" s="6"/>
      <c r="F45" s="6"/>
      <c r="H45" s="31"/>
      <c r="I45" s="4"/>
      <c r="J45" s="5"/>
      <c r="K45" s="6"/>
      <c r="L45" s="6"/>
    </row>
    <row r="46" spans="2:12" x14ac:dyDescent="0.45">
      <c r="B46" s="31"/>
      <c r="C46" s="4"/>
      <c r="D46" s="5"/>
      <c r="E46" s="6"/>
      <c r="F46" s="6"/>
      <c r="H46" s="31"/>
      <c r="I46" s="4"/>
      <c r="J46" s="5"/>
      <c r="K46" s="6"/>
      <c r="L46" s="6"/>
    </row>
    <row r="47" spans="2:12" x14ac:dyDescent="0.45">
      <c r="B47" s="31"/>
      <c r="C47" s="4"/>
      <c r="D47" s="5"/>
      <c r="E47" s="6"/>
      <c r="F47" s="6"/>
      <c r="H47" s="31"/>
      <c r="I47" s="4"/>
      <c r="J47" s="5"/>
      <c r="K47" s="6"/>
      <c r="L47" s="6"/>
    </row>
    <row r="48" spans="2:12" x14ac:dyDescent="0.45">
      <c r="B48" s="31"/>
      <c r="C48" s="4"/>
      <c r="D48" s="5"/>
      <c r="E48" s="6"/>
      <c r="F48" s="6"/>
      <c r="H48" s="31"/>
      <c r="I48" s="4"/>
      <c r="J48" s="5"/>
      <c r="K48" s="6"/>
      <c r="L48" s="6"/>
    </row>
    <row r="49" spans="2:12" x14ac:dyDescent="0.45">
      <c r="B49" s="31"/>
      <c r="C49" s="4" t="s">
        <v>6</v>
      </c>
      <c r="D49" s="8"/>
      <c r="E49" s="6">
        <f>SUBTOTAL(9,Tableau44616264554617023[Revenus])</f>
        <v>0</v>
      </c>
      <c r="F49" s="6">
        <f>SUBTOTAL(9,Tableau44616264554617023[Dépenses])</f>
        <v>0</v>
      </c>
      <c r="H49" s="31"/>
      <c r="I49" s="4" t="s">
        <v>6</v>
      </c>
      <c r="J49" s="8"/>
      <c r="K49" s="6">
        <f>SUBTOTAL(9,Tableau44616264554617024[Revenus])</f>
        <v>0</v>
      </c>
      <c r="L49" s="6">
        <f>SUBTOTAL(9,Tableau44616264554617024[Dépenses])</f>
        <v>0</v>
      </c>
    </row>
    <row r="51" spans="2:12" x14ac:dyDescent="0.45">
      <c r="E51" s="16"/>
      <c r="K51" s="16"/>
    </row>
    <row r="52" spans="2:12" ht="18" customHeight="1" x14ac:dyDescent="0.45">
      <c r="B52" s="32" t="s">
        <v>7</v>
      </c>
      <c r="C52" s="3" t="s">
        <v>2</v>
      </c>
      <c r="D52" s="3" t="s">
        <v>3</v>
      </c>
      <c r="E52" s="3" t="s">
        <v>4</v>
      </c>
      <c r="F52" s="3" t="s">
        <v>5</v>
      </c>
      <c r="H52" s="33"/>
      <c r="I52" s="23"/>
      <c r="J52" s="23"/>
      <c r="K52" s="23"/>
      <c r="L52" s="23"/>
    </row>
    <row r="53" spans="2:12" x14ac:dyDescent="0.45">
      <c r="B53" s="31"/>
      <c r="C53" s="4"/>
      <c r="D53" s="5"/>
      <c r="E53" s="7"/>
      <c r="F53" s="7"/>
      <c r="H53" s="31"/>
      <c r="I53" s="20"/>
      <c r="J53" s="24"/>
      <c r="K53" s="25"/>
      <c r="L53" s="25"/>
    </row>
    <row r="54" spans="2:12" x14ac:dyDescent="0.45">
      <c r="B54" s="31"/>
      <c r="C54" s="4"/>
      <c r="D54" s="5"/>
      <c r="E54" s="6"/>
      <c r="F54" s="6"/>
      <c r="H54" s="31"/>
      <c r="I54" s="20"/>
      <c r="J54" s="24"/>
      <c r="K54" s="22"/>
      <c r="L54" s="22"/>
    </row>
    <row r="55" spans="2:12" x14ac:dyDescent="0.45">
      <c r="B55" s="31"/>
      <c r="C55" s="4"/>
      <c r="D55" s="5"/>
      <c r="E55" s="6"/>
      <c r="F55" s="6"/>
      <c r="H55" s="31"/>
      <c r="I55" s="20"/>
      <c r="J55" s="24"/>
      <c r="K55" s="22"/>
      <c r="L55" s="22"/>
    </row>
    <row r="56" spans="2:12" x14ac:dyDescent="0.45">
      <c r="B56" s="31"/>
      <c r="C56" s="4"/>
      <c r="D56" s="5"/>
      <c r="E56" s="6"/>
      <c r="F56" s="6"/>
      <c r="H56" s="31"/>
      <c r="I56" s="20"/>
      <c r="J56" s="24"/>
      <c r="K56" s="22"/>
      <c r="L56" s="22"/>
    </row>
    <row r="57" spans="2:12" x14ac:dyDescent="0.45">
      <c r="B57" s="31"/>
      <c r="C57" s="4"/>
      <c r="D57" s="5"/>
      <c r="E57" s="6"/>
      <c r="F57" s="6"/>
      <c r="H57" s="31"/>
      <c r="I57" s="20"/>
      <c r="J57" s="24"/>
      <c r="K57" s="22"/>
      <c r="L57" s="22"/>
    </row>
    <row r="58" spans="2:12" x14ac:dyDescent="0.45">
      <c r="B58" s="31"/>
      <c r="C58" s="4"/>
      <c r="D58" s="5"/>
      <c r="E58" s="6"/>
      <c r="F58" s="6"/>
      <c r="H58" s="31"/>
      <c r="I58" s="20"/>
      <c r="J58" s="24"/>
      <c r="K58" s="22"/>
      <c r="L58" s="22"/>
    </row>
    <row r="59" spans="2:12" x14ac:dyDescent="0.45">
      <c r="B59" s="31"/>
      <c r="C59" s="4"/>
      <c r="D59" s="5"/>
      <c r="E59" s="6"/>
      <c r="F59" s="6"/>
      <c r="H59" s="31"/>
      <c r="I59" s="20"/>
      <c r="J59" s="24"/>
      <c r="K59" s="22"/>
      <c r="L59" s="22"/>
    </row>
    <row r="60" spans="2:12" x14ac:dyDescent="0.45">
      <c r="B60" s="31"/>
      <c r="C60" s="4"/>
      <c r="D60" s="5"/>
      <c r="E60" s="6"/>
      <c r="F60" s="6"/>
      <c r="H60" s="31"/>
      <c r="I60" s="20"/>
      <c r="J60" s="24"/>
      <c r="K60" s="22"/>
      <c r="L60" s="22"/>
    </row>
    <row r="61" spans="2:12" x14ac:dyDescent="0.45">
      <c r="B61" s="31"/>
      <c r="C61" s="4" t="s">
        <v>6</v>
      </c>
      <c r="D61" s="8"/>
      <c r="E61" s="6">
        <f>SUBTOTAL(9,Tableau44616264554617025[Revenus])</f>
        <v>0</v>
      </c>
      <c r="F61" s="6">
        <f>SUBTOTAL(9,Tableau44616264554617025[Dépenses])</f>
        <v>0</v>
      </c>
      <c r="H61" s="31"/>
      <c r="I61" s="20"/>
      <c r="J61" s="21"/>
      <c r="K61" s="22"/>
      <c r="L61" s="22"/>
    </row>
    <row r="64" spans="2:12" ht="18" customHeight="1" x14ac:dyDescent="0.65">
      <c r="B64" s="33"/>
      <c r="C64" s="23"/>
      <c r="D64" s="23"/>
      <c r="E64" s="23"/>
      <c r="F64" s="23"/>
      <c r="K64" s="34" t="s">
        <v>50</v>
      </c>
    </row>
    <row r="65" spans="2:6" x14ac:dyDescent="0.45">
      <c r="B65" s="31"/>
      <c r="C65" s="20"/>
      <c r="D65" s="24"/>
      <c r="E65" s="25"/>
      <c r="F65" s="25"/>
    </row>
    <row r="66" spans="2:6" x14ac:dyDescent="0.45">
      <c r="B66" s="31"/>
      <c r="C66" s="20"/>
      <c r="D66" s="24"/>
      <c r="E66" s="22"/>
      <c r="F66" s="22"/>
    </row>
    <row r="67" spans="2:6" x14ac:dyDescent="0.45">
      <c r="B67" s="31"/>
      <c r="C67" s="20"/>
      <c r="D67" s="24"/>
      <c r="E67" s="22"/>
      <c r="F67" s="22"/>
    </row>
    <row r="68" spans="2:6" x14ac:dyDescent="0.45">
      <c r="B68" s="31"/>
      <c r="C68" s="20"/>
      <c r="D68" s="24"/>
      <c r="E68" s="22"/>
      <c r="F68" s="22"/>
    </row>
    <row r="69" spans="2:6" x14ac:dyDescent="0.45">
      <c r="B69" s="31"/>
      <c r="C69" s="20"/>
      <c r="D69" s="24"/>
      <c r="E69" s="22"/>
      <c r="F69" s="22"/>
    </row>
    <row r="70" spans="2:6" x14ac:dyDescent="0.45">
      <c r="B70" s="31"/>
      <c r="C70" s="20"/>
      <c r="D70" s="24"/>
      <c r="E70" s="22"/>
      <c r="F70" s="22"/>
    </row>
    <row r="71" spans="2:6" x14ac:dyDescent="0.45">
      <c r="B71" s="31"/>
      <c r="C71" s="20"/>
      <c r="D71" s="24"/>
      <c r="E71" s="22"/>
      <c r="F71" s="22"/>
    </row>
    <row r="72" spans="2:6" x14ac:dyDescent="0.45">
      <c r="B72" s="31"/>
      <c r="C72" s="20"/>
      <c r="D72" s="24"/>
      <c r="E72" s="22"/>
      <c r="F72" s="22"/>
    </row>
    <row r="73" spans="2:6" x14ac:dyDescent="0.45">
      <c r="B73" s="31"/>
      <c r="C73" s="20"/>
      <c r="D73" s="21"/>
      <c r="E73" s="22"/>
      <c r="F73" s="22"/>
    </row>
  </sheetData>
  <mergeCells count="12">
    <mergeCell ref="B64:B73"/>
    <mergeCell ref="H52:H61"/>
    <mergeCell ref="B16:B25"/>
    <mergeCell ref="B28:B37"/>
    <mergeCell ref="B52:B61"/>
    <mergeCell ref="H16:H25"/>
    <mergeCell ref="C2:F2"/>
    <mergeCell ref="H28:H37"/>
    <mergeCell ref="B4:B13"/>
    <mergeCell ref="B40:B49"/>
    <mergeCell ref="H40:H49"/>
    <mergeCell ref="H4:H13"/>
  </mergeCells>
  <pageMargins left="0.7" right="0.7" top="0.75" bottom="0.75" header="0.3" footer="0.3"/>
  <pageSetup paperSize="9" orientation="portrait"/>
  <tableParts count="9">
    <tablePart r:id="rId1"/>
    <tablePart r:id="rId2"/>
    <tablePart r:id="rId3"/>
    <tablePart r:id="rId4"/>
    <tablePart r:id="rId5"/>
    <tablePart r:id="rId6"/>
    <tablePart r:id="rId7"/>
    <tablePart r:id="rId8"/>
    <tablePart r:id="rId9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73"/>
  <sheetViews>
    <sheetView topLeftCell="A21" zoomScale="66" zoomScaleNormal="66" workbookViewId="0">
      <selection activeCell="O4" sqref="O4:Q9"/>
    </sheetView>
  </sheetViews>
  <sheetFormatPr baseColWidth="10" defaultColWidth="9.06640625" defaultRowHeight="14.25" x14ac:dyDescent="0.45"/>
  <cols>
    <col min="1" max="1" width="5.9296875" style="15" customWidth="1"/>
    <col min="2" max="2" width="9.06640625" style="15" customWidth="1"/>
    <col min="3" max="3" width="35.6640625" style="15" customWidth="1"/>
    <col min="4" max="4" width="20.53125" style="15" customWidth="1"/>
    <col min="5" max="5" width="20.59765625" style="15" customWidth="1"/>
    <col min="6" max="6" width="20.6640625" style="15" customWidth="1"/>
    <col min="7" max="8" width="9.06640625" style="15" customWidth="1"/>
    <col min="9" max="9" width="35.6640625" style="15" customWidth="1"/>
    <col min="10" max="11" width="20.59765625" style="15" customWidth="1"/>
    <col min="12" max="12" width="20.6640625" style="15" customWidth="1"/>
    <col min="13" max="23" width="9.06640625" style="15" customWidth="1"/>
    <col min="24" max="16384" width="9.06640625" style="15"/>
  </cols>
  <sheetData>
    <row r="1" spans="1:12" ht="28.15" customHeight="1" thickBot="1" x14ac:dyDescent="0.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33.4" customHeight="1" thickBot="1" x14ac:dyDescent="0.5">
      <c r="A2" s="1"/>
      <c r="B2" s="1"/>
      <c r="C2" s="30" t="s">
        <v>17</v>
      </c>
      <c r="D2" s="31"/>
      <c r="E2" s="31"/>
      <c r="F2" s="31"/>
      <c r="G2" s="1"/>
      <c r="H2" s="2"/>
      <c r="I2" s="19" t="s">
        <v>1</v>
      </c>
      <c r="J2" s="18"/>
      <c r="K2" s="17"/>
      <c r="L2" s="17"/>
    </row>
    <row r="3" spans="1:12" x14ac:dyDescent="0.4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 ht="18" customHeight="1" x14ac:dyDescent="0.45">
      <c r="A4" s="1"/>
      <c r="B4" s="32" t="s">
        <v>18</v>
      </c>
      <c r="C4" s="3" t="s">
        <v>2</v>
      </c>
      <c r="D4" s="3" t="s">
        <v>3</v>
      </c>
      <c r="E4" s="3" t="s">
        <v>4</v>
      </c>
      <c r="F4" s="3" t="s">
        <v>5</v>
      </c>
      <c r="G4" s="1"/>
      <c r="H4" s="32" t="s">
        <v>19</v>
      </c>
      <c r="I4" s="3" t="s">
        <v>2</v>
      </c>
      <c r="J4" s="3" t="s">
        <v>3</v>
      </c>
      <c r="K4" s="3" t="s">
        <v>4</v>
      </c>
      <c r="L4" s="3" t="s">
        <v>5</v>
      </c>
    </row>
    <row r="5" spans="1:12" x14ac:dyDescent="0.45">
      <c r="A5" s="1"/>
      <c r="B5" s="31"/>
      <c r="C5" s="4"/>
      <c r="D5" s="5"/>
      <c r="E5" s="6"/>
      <c r="F5" s="6"/>
      <c r="G5" s="1"/>
      <c r="H5" s="31"/>
      <c r="I5" s="4"/>
      <c r="J5" s="5"/>
      <c r="K5" s="7"/>
      <c r="L5" s="7"/>
    </row>
    <row r="6" spans="1:12" x14ac:dyDescent="0.45">
      <c r="A6" s="1"/>
      <c r="B6" s="31"/>
      <c r="C6" s="4"/>
      <c r="D6" s="5"/>
      <c r="E6" s="6"/>
      <c r="F6" s="6"/>
      <c r="G6" s="1"/>
      <c r="H6" s="31"/>
      <c r="I6" s="4"/>
      <c r="J6" s="5"/>
      <c r="K6" s="6"/>
      <c r="L6" s="6"/>
    </row>
    <row r="7" spans="1:12" x14ac:dyDescent="0.45">
      <c r="A7" s="1"/>
      <c r="B7" s="31"/>
      <c r="C7" s="4"/>
      <c r="D7" s="5"/>
      <c r="E7" s="6"/>
      <c r="F7" s="6"/>
      <c r="G7" s="1"/>
      <c r="H7" s="31"/>
      <c r="I7" s="4"/>
      <c r="J7" s="5"/>
      <c r="K7" s="6"/>
      <c r="L7" s="6"/>
    </row>
    <row r="8" spans="1:12" x14ac:dyDescent="0.45">
      <c r="A8" s="1"/>
      <c r="B8" s="31"/>
      <c r="C8" s="4"/>
      <c r="D8" s="5"/>
      <c r="E8" s="6"/>
      <c r="F8" s="6"/>
      <c r="G8" s="1"/>
      <c r="H8" s="31"/>
      <c r="I8" s="4"/>
      <c r="J8" s="5"/>
      <c r="K8" s="6"/>
      <c r="L8" s="6"/>
    </row>
    <row r="9" spans="1:12" x14ac:dyDescent="0.45">
      <c r="A9" s="1"/>
      <c r="B9" s="31"/>
      <c r="C9" s="4"/>
      <c r="D9" s="5"/>
      <c r="E9" s="6"/>
      <c r="F9" s="6"/>
      <c r="G9" s="1"/>
      <c r="H9" s="31"/>
      <c r="I9" s="4"/>
      <c r="J9" s="5"/>
      <c r="K9" s="6"/>
      <c r="L9" s="6"/>
    </row>
    <row r="10" spans="1:12" x14ac:dyDescent="0.45">
      <c r="A10" s="1"/>
      <c r="B10" s="31"/>
      <c r="C10" s="4"/>
      <c r="D10" s="5"/>
      <c r="E10" s="6"/>
      <c r="F10" s="6"/>
      <c r="G10" s="1"/>
      <c r="H10" s="31"/>
      <c r="I10" s="4"/>
      <c r="J10" s="5"/>
      <c r="K10" s="6"/>
      <c r="L10" s="6"/>
    </row>
    <row r="11" spans="1:12" x14ac:dyDescent="0.45">
      <c r="A11" s="1"/>
      <c r="B11" s="31"/>
      <c r="C11" s="4"/>
      <c r="D11" s="5"/>
      <c r="E11" s="6"/>
      <c r="F11" s="6"/>
      <c r="G11" s="1"/>
      <c r="H11" s="31"/>
      <c r="I11" s="4"/>
      <c r="J11" s="5"/>
      <c r="K11" s="6"/>
      <c r="L11" s="6"/>
    </row>
    <row r="12" spans="1:12" x14ac:dyDescent="0.45">
      <c r="A12" s="1"/>
      <c r="B12" s="31"/>
      <c r="C12" s="4"/>
      <c r="D12" s="5"/>
      <c r="E12" s="6"/>
      <c r="F12" s="6"/>
      <c r="G12" s="1"/>
      <c r="H12" s="31"/>
      <c r="I12" s="4"/>
      <c r="J12" s="5"/>
      <c r="K12" s="6"/>
      <c r="L12" s="6"/>
    </row>
    <row r="13" spans="1:12" ht="25.5" customHeight="1" x14ac:dyDescent="0.45">
      <c r="A13" s="1"/>
      <c r="B13" s="31"/>
      <c r="C13" s="4" t="s">
        <v>6</v>
      </c>
      <c r="D13" s="8"/>
      <c r="E13" s="6">
        <f>SUBTOTAL(9,Tableau413234251586713[Revenus])</f>
        <v>0</v>
      </c>
      <c r="F13" s="6">
        <f>SUBTOTAL(9,Tableau413234251586713[Dépenses])</f>
        <v>0</v>
      </c>
      <c r="G13" s="1"/>
      <c r="H13" s="31"/>
      <c r="I13" s="4" t="s">
        <v>6</v>
      </c>
      <c r="J13" s="8"/>
      <c r="K13" s="6">
        <f>SUBTOTAL(9,Tableau4461626455461701423[Revenus])</f>
        <v>0</v>
      </c>
      <c r="L13" s="6">
        <f>SUBTOTAL(9,Tableau4461626455461701423[Dépenses])</f>
        <v>0</v>
      </c>
    </row>
    <row r="14" spans="1:12" ht="14.65" customHeight="1" x14ac:dyDescent="0.45">
      <c r="A14" s="1"/>
      <c r="B14" s="10"/>
      <c r="C14" s="11"/>
      <c r="D14" s="11"/>
      <c r="E14" s="11"/>
      <c r="F14" s="11"/>
      <c r="G14" s="1"/>
      <c r="H14" s="1"/>
      <c r="I14" s="1"/>
      <c r="J14" s="1"/>
      <c r="K14" s="1"/>
      <c r="L14" s="1"/>
    </row>
    <row r="15" spans="1:12" x14ac:dyDescent="0.45">
      <c r="A15" s="1"/>
      <c r="B15" s="10"/>
      <c r="C15" s="12"/>
      <c r="D15" s="13"/>
      <c r="E15" s="9"/>
      <c r="F15" s="14"/>
      <c r="G15" s="1"/>
      <c r="H15" s="1"/>
      <c r="I15" s="1"/>
      <c r="J15" s="1"/>
      <c r="K15" s="1"/>
      <c r="L15" s="1"/>
    </row>
    <row r="16" spans="1:12" ht="18" customHeight="1" x14ac:dyDescent="0.45">
      <c r="A16" s="1"/>
      <c r="B16" s="32" t="s">
        <v>16</v>
      </c>
      <c r="C16" s="3" t="s">
        <v>2</v>
      </c>
      <c r="D16" s="3" t="s">
        <v>3</v>
      </c>
      <c r="E16" s="3" t="s">
        <v>4</v>
      </c>
      <c r="F16" s="3" t="s">
        <v>5</v>
      </c>
      <c r="G16" s="1"/>
      <c r="H16" s="32" t="s">
        <v>20</v>
      </c>
      <c r="I16" s="3" t="s">
        <v>2</v>
      </c>
      <c r="J16" s="3" t="s">
        <v>3</v>
      </c>
      <c r="K16" s="3" t="s">
        <v>4</v>
      </c>
      <c r="L16" s="3" t="s">
        <v>5</v>
      </c>
    </row>
    <row r="17" spans="1:12" x14ac:dyDescent="0.45">
      <c r="A17" s="1"/>
      <c r="B17" s="31"/>
      <c r="C17" s="4"/>
      <c r="D17" s="5"/>
      <c r="E17" s="7"/>
      <c r="F17" s="7"/>
      <c r="G17" s="1"/>
      <c r="H17" s="31"/>
      <c r="I17" s="4"/>
      <c r="J17" s="5"/>
      <c r="K17" s="7"/>
      <c r="L17" s="7"/>
    </row>
    <row r="18" spans="1:12" x14ac:dyDescent="0.45">
      <c r="A18" s="1"/>
      <c r="B18" s="31"/>
      <c r="C18" s="4"/>
      <c r="D18" s="5"/>
      <c r="E18" s="6"/>
      <c r="F18" s="6"/>
      <c r="G18" s="1"/>
      <c r="H18" s="31"/>
      <c r="I18" s="4"/>
      <c r="J18" s="5"/>
      <c r="K18" s="6"/>
      <c r="L18" s="6"/>
    </row>
    <row r="19" spans="1:12" x14ac:dyDescent="0.45">
      <c r="A19" s="1"/>
      <c r="B19" s="31"/>
      <c r="C19" s="4"/>
      <c r="D19" s="5"/>
      <c r="E19" s="6"/>
      <c r="F19" s="6"/>
      <c r="G19" s="1"/>
      <c r="H19" s="31"/>
      <c r="I19" s="4"/>
      <c r="J19" s="5"/>
      <c r="K19" s="6"/>
      <c r="L19" s="6"/>
    </row>
    <row r="20" spans="1:12" x14ac:dyDescent="0.45">
      <c r="A20" s="1"/>
      <c r="B20" s="31"/>
      <c r="C20" s="4"/>
      <c r="D20" s="5"/>
      <c r="E20" s="6"/>
      <c r="F20" s="6"/>
      <c r="G20" s="1"/>
      <c r="H20" s="31"/>
      <c r="I20" s="4"/>
      <c r="J20" s="5"/>
      <c r="K20" s="6"/>
      <c r="L20" s="6"/>
    </row>
    <row r="21" spans="1:12" x14ac:dyDescent="0.45">
      <c r="A21" s="1"/>
      <c r="B21" s="31"/>
      <c r="C21" s="4"/>
      <c r="D21" s="5"/>
      <c r="E21" s="6"/>
      <c r="F21" s="6"/>
      <c r="G21" s="1"/>
      <c r="H21" s="31"/>
      <c r="I21" s="4"/>
      <c r="J21" s="5"/>
      <c r="K21" s="6"/>
      <c r="L21" s="6"/>
    </row>
    <row r="22" spans="1:12" x14ac:dyDescent="0.45">
      <c r="A22" s="1"/>
      <c r="B22" s="31"/>
      <c r="C22" s="4"/>
      <c r="D22" s="5"/>
      <c r="E22" s="6"/>
      <c r="F22" s="6"/>
      <c r="G22" s="1"/>
      <c r="H22" s="31"/>
      <c r="I22" s="4"/>
      <c r="J22" s="5"/>
      <c r="K22" s="6"/>
      <c r="L22" s="6"/>
    </row>
    <row r="23" spans="1:12" x14ac:dyDescent="0.45">
      <c r="A23" s="1"/>
      <c r="B23" s="31"/>
      <c r="C23" s="4"/>
      <c r="D23" s="5"/>
      <c r="E23" s="6"/>
      <c r="F23" s="6"/>
      <c r="G23" s="1"/>
      <c r="H23" s="31"/>
      <c r="I23" s="4"/>
      <c r="J23" s="5"/>
      <c r="K23" s="6"/>
      <c r="L23" s="6"/>
    </row>
    <row r="24" spans="1:12" x14ac:dyDescent="0.45">
      <c r="A24" s="1"/>
      <c r="B24" s="31"/>
      <c r="C24" s="4"/>
      <c r="D24" s="5"/>
      <c r="E24" s="6"/>
      <c r="F24" s="6"/>
      <c r="G24" s="1"/>
      <c r="H24" s="31"/>
      <c r="I24" s="4"/>
      <c r="J24" s="5"/>
      <c r="K24" s="6"/>
      <c r="L24" s="6"/>
    </row>
    <row r="25" spans="1:12" x14ac:dyDescent="0.45">
      <c r="A25" s="1"/>
      <c r="B25" s="31"/>
      <c r="C25" s="4" t="s">
        <v>6</v>
      </c>
      <c r="D25" s="8"/>
      <c r="E25" s="6">
        <f>SUBTOTAL(9,Tableau44616264554617015[Revenus])</f>
        <v>0</v>
      </c>
      <c r="F25" s="6">
        <f>SUBTOTAL(9,Tableau44616264554617015[Dépenses])</f>
        <v>0</v>
      </c>
      <c r="G25" s="1"/>
      <c r="H25" s="31"/>
      <c r="I25" s="4" t="s">
        <v>6</v>
      </c>
      <c r="J25" s="8"/>
      <c r="K25" s="6">
        <f>SUBTOTAL(9,Tableau4461626455461702015[Revenus])</f>
        <v>0</v>
      </c>
      <c r="L25" s="6">
        <f>SUBTOTAL(9,Tableau4461626455461702015[Dépenses])</f>
        <v>0</v>
      </c>
    </row>
    <row r="28" spans="1:12" ht="18" customHeight="1" x14ac:dyDescent="0.45">
      <c r="B28" s="32" t="s">
        <v>21</v>
      </c>
      <c r="C28" s="3" t="s">
        <v>2</v>
      </c>
      <c r="D28" s="3" t="s">
        <v>3</v>
      </c>
      <c r="E28" s="3" t="s">
        <v>4</v>
      </c>
      <c r="F28" s="3" t="s">
        <v>5</v>
      </c>
      <c r="H28" s="32" t="s">
        <v>22</v>
      </c>
      <c r="I28" s="3" t="s">
        <v>2</v>
      </c>
      <c r="J28" s="3" t="s">
        <v>3</v>
      </c>
      <c r="K28" s="3" t="s">
        <v>4</v>
      </c>
      <c r="L28" s="3" t="s">
        <v>5</v>
      </c>
    </row>
    <row r="29" spans="1:12" x14ac:dyDescent="0.45">
      <c r="B29" s="31"/>
      <c r="C29" s="4"/>
      <c r="D29" s="5"/>
      <c r="E29" s="7"/>
      <c r="F29" s="7"/>
      <c r="H29" s="31"/>
      <c r="I29" s="4"/>
      <c r="J29" s="5"/>
      <c r="K29" s="7"/>
      <c r="L29" s="7"/>
    </row>
    <row r="30" spans="1:12" x14ac:dyDescent="0.45">
      <c r="B30" s="31"/>
      <c r="C30" s="4"/>
      <c r="D30" s="5"/>
      <c r="E30" s="6"/>
      <c r="F30" s="6"/>
      <c r="H30" s="31"/>
      <c r="I30" s="4"/>
      <c r="J30" s="5"/>
      <c r="K30" s="6"/>
      <c r="L30" s="6"/>
    </row>
    <row r="31" spans="1:12" x14ac:dyDescent="0.45">
      <c r="B31" s="31"/>
      <c r="C31" s="4"/>
      <c r="D31" s="5"/>
      <c r="E31" s="6"/>
      <c r="F31" s="6"/>
      <c r="H31" s="31"/>
      <c r="I31" s="4"/>
      <c r="J31" s="5"/>
      <c r="K31" s="6"/>
      <c r="L31" s="6"/>
    </row>
    <row r="32" spans="1:12" x14ac:dyDescent="0.45">
      <c r="B32" s="31"/>
      <c r="C32" s="4"/>
      <c r="D32" s="5"/>
      <c r="E32" s="6"/>
      <c r="F32" s="6"/>
      <c r="H32" s="31"/>
      <c r="I32" s="4"/>
      <c r="J32" s="5"/>
      <c r="K32" s="6"/>
      <c r="L32" s="6"/>
    </row>
    <row r="33" spans="2:12" x14ac:dyDescent="0.45">
      <c r="B33" s="31"/>
      <c r="C33" s="4"/>
      <c r="D33" s="5"/>
      <c r="E33" s="6"/>
      <c r="F33" s="6"/>
      <c r="H33" s="31"/>
      <c r="I33" s="4"/>
      <c r="J33" s="5"/>
      <c r="K33" s="6"/>
      <c r="L33" s="6"/>
    </row>
    <row r="34" spans="2:12" x14ac:dyDescent="0.45">
      <c r="B34" s="31"/>
      <c r="C34" s="4"/>
      <c r="D34" s="5"/>
      <c r="E34" s="6"/>
      <c r="F34" s="6"/>
      <c r="H34" s="31"/>
      <c r="I34" s="4"/>
      <c r="J34" s="5"/>
      <c r="K34" s="6"/>
      <c r="L34" s="6"/>
    </row>
    <row r="35" spans="2:12" x14ac:dyDescent="0.45">
      <c r="B35" s="31"/>
      <c r="C35" s="4"/>
      <c r="D35" s="5"/>
      <c r="E35" s="6"/>
      <c r="F35" s="6"/>
      <c r="H35" s="31"/>
      <c r="I35" s="4"/>
      <c r="J35" s="5"/>
      <c r="K35" s="6"/>
      <c r="L35" s="6"/>
    </row>
    <row r="36" spans="2:12" x14ac:dyDescent="0.45">
      <c r="B36" s="31"/>
      <c r="C36" s="4"/>
      <c r="D36" s="5"/>
      <c r="E36" s="6"/>
      <c r="F36" s="6"/>
      <c r="H36" s="31"/>
      <c r="I36" s="4"/>
      <c r="J36" s="5"/>
      <c r="K36" s="6"/>
      <c r="L36" s="6"/>
    </row>
    <row r="37" spans="2:12" x14ac:dyDescent="0.45">
      <c r="B37" s="31"/>
      <c r="C37" s="4" t="s">
        <v>6</v>
      </c>
      <c r="D37" s="8"/>
      <c r="E37" s="6">
        <f>SUBTOTAL(9,Tableau4461626455461702116[Revenus])</f>
        <v>0</v>
      </c>
      <c r="F37" s="6">
        <f>SUBTOTAL(9,Tableau4461626455461702116[Dépenses])</f>
        <v>0</v>
      </c>
      <c r="H37" s="31"/>
      <c r="I37" s="4" t="s">
        <v>6</v>
      </c>
      <c r="J37" s="8"/>
      <c r="K37" s="6">
        <f>SUBTOTAL(9,Tableau4461626455461702217[Revenus])</f>
        <v>0</v>
      </c>
      <c r="L37" s="6">
        <f>SUBTOTAL(9,Tableau4461626455461702217[Dépenses])</f>
        <v>0</v>
      </c>
    </row>
    <row r="39" spans="2:12" x14ac:dyDescent="0.45">
      <c r="E39" s="16"/>
    </row>
    <row r="40" spans="2:12" ht="18" customHeight="1" x14ac:dyDescent="0.45">
      <c r="B40" s="32" t="s">
        <v>23</v>
      </c>
      <c r="C40" s="3" t="s">
        <v>2</v>
      </c>
      <c r="D40" s="3" t="s">
        <v>3</v>
      </c>
      <c r="E40" s="3" t="s">
        <v>4</v>
      </c>
      <c r="F40" s="3" t="s">
        <v>5</v>
      </c>
      <c r="H40" s="32" t="s">
        <v>24</v>
      </c>
      <c r="I40" s="3" t="s">
        <v>2</v>
      </c>
      <c r="J40" s="3" t="s">
        <v>3</v>
      </c>
      <c r="K40" s="3" t="s">
        <v>4</v>
      </c>
      <c r="L40" s="3" t="s">
        <v>5</v>
      </c>
    </row>
    <row r="41" spans="2:12" x14ac:dyDescent="0.45">
      <c r="B41" s="31"/>
      <c r="C41" s="4"/>
      <c r="D41" s="5"/>
      <c r="E41" s="7"/>
      <c r="F41" s="7"/>
      <c r="H41" s="31"/>
      <c r="I41" s="4"/>
      <c r="J41" s="5"/>
      <c r="K41" s="7"/>
      <c r="L41" s="7"/>
    </row>
    <row r="42" spans="2:12" x14ac:dyDescent="0.45">
      <c r="B42" s="31"/>
      <c r="C42" s="4"/>
      <c r="D42" s="5"/>
      <c r="E42" s="6"/>
      <c r="F42" s="6"/>
      <c r="H42" s="31"/>
      <c r="I42" s="4"/>
      <c r="J42" s="5"/>
      <c r="K42" s="6"/>
      <c r="L42" s="6"/>
    </row>
    <row r="43" spans="2:12" x14ac:dyDescent="0.45">
      <c r="B43" s="31"/>
      <c r="C43" s="4"/>
      <c r="D43" s="5"/>
      <c r="E43" s="6"/>
      <c r="F43" s="6"/>
      <c r="H43" s="31"/>
      <c r="I43" s="4"/>
      <c r="J43" s="5"/>
      <c r="K43" s="6"/>
      <c r="L43" s="6"/>
    </row>
    <row r="44" spans="2:12" x14ac:dyDescent="0.45">
      <c r="B44" s="31"/>
      <c r="C44" s="4"/>
      <c r="D44" s="5"/>
      <c r="E44" s="6"/>
      <c r="F44" s="6"/>
      <c r="H44" s="31"/>
      <c r="I44" s="4"/>
      <c r="J44" s="5"/>
      <c r="K44" s="6"/>
      <c r="L44" s="6"/>
    </row>
    <row r="45" spans="2:12" x14ac:dyDescent="0.45">
      <c r="B45" s="31"/>
      <c r="C45" s="4"/>
      <c r="D45" s="5"/>
      <c r="E45" s="6"/>
      <c r="F45" s="6"/>
      <c r="H45" s="31"/>
      <c r="I45" s="4"/>
      <c r="J45" s="5"/>
      <c r="K45" s="6"/>
      <c r="L45" s="6"/>
    </row>
    <row r="46" spans="2:12" x14ac:dyDescent="0.45">
      <c r="B46" s="31"/>
      <c r="C46" s="4"/>
      <c r="D46" s="5"/>
      <c r="E46" s="6"/>
      <c r="F46" s="6"/>
      <c r="H46" s="31"/>
      <c r="I46" s="4"/>
      <c r="J46" s="5"/>
      <c r="K46" s="6"/>
      <c r="L46" s="6"/>
    </row>
    <row r="47" spans="2:12" x14ac:dyDescent="0.45">
      <c r="B47" s="31"/>
      <c r="C47" s="4"/>
      <c r="D47" s="5"/>
      <c r="E47" s="6"/>
      <c r="F47" s="6"/>
      <c r="H47" s="31"/>
      <c r="I47" s="4"/>
      <c r="J47" s="5"/>
      <c r="K47" s="6"/>
      <c r="L47" s="6"/>
    </row>
    <row r="48" spans="2:12" x14ac:dyDescent="0.45">
      <c r="B48" s="31"/>
      <c r="C48" s="4"/>
      <c r="D48" s="5"/>
      <c r="E48" s="6"/>
      <c r="F48" s="6"/>
      <c r="H48" s="31"/>
      <c r="I48" s="4"/>
      <c r="J48" s="5"/>
      <c r="K48" s="6"/>
      <c r="L48" s="6"/>
    </row>
    <row r="49" spans="2:12" x14ac:dyDescent="0.45">
      <c r="B49" s="31"/>
      <c r="C49" s="4" t="s">
        <v>6</v>
      </c>
      <c r="D49" s="8"/>
      <c r="E49" s="6">
        <f>SUBTOTAL(9,Tableau4461626455461702318[Revenus])</f>
        <v>0</v>
      </c>
      <c r="F49" s="6">
        <f>SUBTOTAL(9,Tableau4461626455461702318[Dépenses])</f>
        <v>0</v>
      </c>
      <c r="H49" s="31"/>
      <c r="I49" s="4" t="s">
        <v>6</v>
      </c>
      <c r="J49" s="8"/>
      <c r="K49" s="6">
        <f>SUBTOTAL(9,Tableau4461626455461702419[Revenus])</f>
        <v>0</v>
      </c>
      <c r="L49" s="6">
        <f>SUBTOTAL(9,Tableau4461626455461702419[Dépenses])</f>
        <v>0</v>
      </c>
    </row>
    <row r="51" spans="2:12" x14ac:dyDescent="0.45">
      <c r="E51" s="16"/>
      <c r="K51" s="16"/>
    </row>
    <row r="52" spans="2:12" ht="18" customHeight="1" x14ac:dyDescent="0.45">
      <c r="B52" s="32" t="s">
        <v>7</v>
      </c>
      <c r="C52" s="3" t="s">
        <v>2</v>
      </c>
      <c r="D52" s="3" t="s">
        <v>3</v>
      </c>
      <c r="E52" s="3" t="s">
        <v>4</v>
      </c>
      <c r="F52" s="3" t="s">
        <v>5</v>
      </c>
      <c r="H52" s="33"/>
      <c r="I52" s="23"/>
      <c r="J52" s="23"/>
      <c r="K52" s="23"/>
      <c r="L52" s="23"/>
    </row>
    <row r="53" spans="2:12" x14ac:dyDescent="0.45">
      <c r="B53" s="31"/>
      <c r="C53" s="4"/>
      <c r="D53" s="5"/>
      <c r="E53" s="7"/>
      <c r="F53" s="7"/>
      <c r="H53" s="31"/>
      <c r="I53" s="20"/>
      <c r="J53" s="24"/>
      <c r="K53" s="25"/>
      <c r="L53" s="25"/>
    </row>
    <row r="54" spans="2:12" x14ac:dyDescent="0.45">
      <c r="B54" s="31"/>
      <c r="C54" s="4"/>
      <c r="D54" s="5"/>
      <c r="E54" s="6"/>
      <c r="F54" s="6"/>
      <c r="H54" s="31"/>
      <c r="I54" s="20"/>
      <c r="J54" s="24"/>
      <c r="K54" s="22"/>
      <c r="L54" s="22"/>
    </row>
    <row r="55" spans="2:12" x14ac:dyDescent="0.45">
      <c r="B55" s="31"/>
      <c r="C55" s="4"/>
      <c r="D55" s="5"/>
      <c r="E55" s="6"/>
      <c r="F55" s="6"/>
      <c r="H55" s="31"/>
      <c r="I55" s="20"/>
      <c r="J55" s="24"/>
      <c r="K55" s="22"/>
      <c r="L55" s="22"/>
    </row>
    <row r="56" spans="2:12" x14ac:dyDescent="0.45">
      <c r="B56" s="31"/>
      <c r="C56" s="4"/>
      <c r="D56" s="5"/>
      <c r="E56" s="6"/>
      <c r="F56" s="6"/>
      <c r="H56" s="31"/>
      <c r="I56" s="20"/>
      <c r="J56" s="24"/>
      <c r="K56" s="22"/>
      <c r="L56" s="22"/>
    </row>
    <row r="57" spans="2:12" x14ac:dyDescent="0.45">
      <c r="B57" s="31"/>
      <c r="C57" s="4"/>
      <c r="D57" s="5"/>
      <c r="E57" s="6"/>
      <c r="F57" s="6"/>
      <c r="H57" s="31"/>
      <c r="I57" s="20"/>
      <c r="J57" s="24"/>
      <c r="K57" s="22"/>
      <c r="L57" s="22"/>
    </row>
    <row r="58" spans="2:12" x14ac:dyDescent="0.45">
      <c r="B58" s="31"/>
      <c r="C58" s="4"/>
      <c r="D58" s="5"/>
      <c r="E58" s="6"/>
      <c r="F58" s="6"/>
      <c r="H58" s="31"/>
      <c r="I58" s="20"/>
      <c r="J58" s="24"/>
      <c r="K58" s="22"/>
      <c r="L58" s="22"/>
    </row>
    <row r="59" spans="2:12" x14ac:dyDescent="0.45">
      <c r="B59" s="31"/>
      <c r="C59" s="4"/>
      <c r="D59" s="5"/>
      <c r="E59" s="6"/>
      <c r="F59" s="6"/>
      <c r="H59" s="31"/>
      <c r="I59" s="20"/>
      <c r="J59" s="24"/>
      <c r="K59" s="22"/>
      <c r="L59" s="22"/>
    </row>
    <row r="60" spans="2:12" x14ac:dyDescent="0.45">
      <c r="B60" s="31"/>
      <c r="C60" s="4"/>
      <c r="D60" s="5"/>
      <c r="E60" s="6"/>
      <c r="F60" s="6"/>
      <c r="H60" s="31"/>
      <c r="I60" s="20"/>
      <c r="J60" s="24"/>
      <c r="K60" s="22"/>
      <c r="L60" s="22"/>
    </row>
    <row r="61" spans="2:12" x14ac:dyDescent="0.45">
      <c r="B61" s="31"/>
      <c r="C61" s="4" t="s">
        <v>6</v>
      </c>
      <c r="D61" s="8"/>
      <c r="E61" s="6">
        <f>SUBTOTAL(9,Tableau4461626455461702520[Revenus])</f>
        <v>0</v>
      </c>
      <c r="F61" s="6">
        <f>SUBTOTAL(9,Tableau4461626455461702520[Dépenses])</f>
        <v>0</v>
      </c>
      <c r="H61" s="31"/>
      <c r="I61" s="20"/>
      <c r="J61" s="21"/>
      <c r="K61" s="22"/>
      <c r="L61" s="22"/>
    </row>
    <row r="64" spans="2:12" ht="18" customHeight="1" x14ac:dyDescent="0.45">
      <c r="B64" s="33"/>
      <c r="C64" s="23"/>
      <c r="D64" s="23"/>
      <c r="E64" s="23"/>
      <c r="F64" s="23"/>
    </row>
    <row r="65" spans="2:6" x14ac:dyDescent="0.45">
      <c r="B65" s="31"/>
      <c r="C65" s="20"/>
      <c r="D65" s="24"/>
      <c r="E65" s="25"/>
      <c r="F65" s="25"/>
    </row>
    <row r="66" spans="2:6" x14ac:dyDescent="0.45">
      <c r="B66" s="31"/>
      <c r="C66" s="20"/>
      <c r="D66" s="24"/>
      <c r="E66" s="22"/>
      <c r="F66" s="22"/>
    </row>
    <row r="67" spans="2:6" x14ac:dyDescent="0.45">
      <c r="B67" s="31"/>
      <c r="C67" s="20"/>
      <c r="D67" s="24"/>
      <c r="E67" s="22"/>
      <c r="F67" s="22"/>
    </row>
    <row r="68" spans="2:6" x14ac:dyDescent="0.45">
      <c r="B68" s="31"/>
      <c r="C68" s="20"/>
      <c r="D68" s="24"/>
      <c r="E68" s="22"/>
      <c r="F68" s="22"/>
    </row>
    <row r="69" spans="2:6" x14ac:dyDescent="0.45">
      <c r="B69" s="31"/>
      <c r="C69" s="20"/>
      <c r="D69" s="24"/>
      <c r="E69" s="22"/>
      <c r="F69" s="22"/>
    </row>
    <row r="70" spans="2:6" x14ac:dyDescent="0.45">
      <c r="B70" s="31"/>
      <c r="C70" s="20"/>
      <c r="D70" s="24"/>
      <c r="E70" s="22"/>
      <c r="F70" s="22"/>
    </row>
    <row r="71" spans="2:6" x14ac:dyDescent="0.45">
      <c r="B71" s="31"/>
      <c r="C71" s="20"/>
      <c r="D71" s="24"/>
      <c r="E71" s="22"/>
      <c r="F71" s="22"/>
    </row>
    <row r="72" spans="2:6" x14ac:dyDescent="0.45">
      <c r="B72" s="31"/>
      <c r="C72" s="20"/>
      <c r="D72" s="24"/>
      <c r="E72" s="22"/>
      <c r="F72" s="22"/>
    </row>
    <row r="73" spans="2:6" x14ac:dyDescent="0.45">
      <c r="B73" s="31"/>
      <c r="C73" s="20"/>
      <c r="D73" s="21"/>
      <c r="E73" s="22"/>
      <c r="F73" s="22"/>
    </row>
  </sheetData>
  <mergeCells count="12">
    <mergeCell ref="B64:B73"/>
    <mergeCell ref="H52:H61"/>
    <mergeCell ref="B16:B25"/>
    <mergeCell ref="H16:H25"/>
    <mergeCell ref="B52:B61"/>
    <mergeCell ref="B28:B37"/>
    <mergeCell ref="C2:F2"/>
    <mergeCell ref="H28:H37"/>
    <mergeCell ref="B4:B13"/>
    <mergeCell ref="B40:B49"/>
    <mergeCell ref="H40:H49"/>
    <mergeCell ref="H4:H13"/>
  </mergeCells>
  <pageMargins left="0.7" right="0.7" top="0.75" bottom="0.75" header="0.3" footer="0.3"/>
  <pageSetup paperSize="9" orientation="portrait"/>
  <tableParts count="9">
    <tablePart r:id="rId1"/>
    <tablePart r:id="rId2"/>
    <tablePart r:id="rId3"/>
    <tablePart r:id="rId4"/>
    <tablePart r:id="rId5"/>
    <tablePart r:id="rId6"/>
    <tablePart r:id="rId7"/>
    <tablePart r:id="rId8"/>
    <tablePart r:id="rId9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75"/>
  <sheetViews>
    <sheetView zoomScale="61" workbookViewId="0">
      <selection activeCell="I20" sqref="I20"/>
    </sheetView>
  </sheetViews>
  <sheetFormatPr baseColWidth="10" defaultColWidth="9.06640625" defaultRowHeight="14.25" x14ac:dyDescent="0.45"/>
  <cols>
    <col min="1" max="1" width="5.9296875" style="15" customWidth="1"/>
    <col min="2" max="2" width="9.06640625" style="15" customWidth="1"/>
    <col min="3" max="3" width="35.6640625" style="15" customWidth="1"/>
    <col min="4" max="4" width="20.53125" style="15" customWidth="1"/>
    <col min="5" max="5" width="20.59765625" style="15" customWidth="1"/>
    <col min="6" max="6" width="20.6640625" style="15" customWidth="1"/>
    <col min="7" max="8" width="9.06640625" style="15" customWidth="1"/>
    <col min="9" max="9" width="35.6640625" style="15" customWidth="1"/>
    <col min="10" max="11" width="20.59765625" style="15" customWidth="1"/>
    <col min="12" max="12" width="20.6640625" style="15" customWidth="1"/>
    <col min="13" max="23" width="9.06640625" style="15" customWidth="1"/>
    <col min="24" max="16384" width="9.06640625" style="15"/>
  </cols>
  <sheetData>
    <row r="1" spans="1:12" ht="28.15" customHeight="1" thickBot="1" x14ac:dyDescent="0.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33.4" customHeight="1" thickBot="1" x14ac:dyDescent="0.5">
      <c r="A2" s="1"/>
      <c r="B2" s="1"/>
      <c r="C2" s="30" t="s">
        <v>25</v>
      </c>
      <c r="D2" s="31"/>
      <c r="E2" s="31"/>
      <c r="F2" s="31"/>
      <c r="G2" s="1"/>
      <c r="H2" s="2"/>
      <c r="I2" s="19" t="s">
        <v>1</v>
      </c>
      <c r="J2" s="18"/>
      <c r="K2" s="17"/>
      <c r="L2" s="17"/>
    </row>
    <row r="3" spans="1:12" x14ac:dyDescent="0.4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 ht="18" customHeight="1" x14ac:dyDescent="0.45">
      <c r="A4" s="1"/>
      <c r="B4" s="32" t="s">
        <v>26</v>
      </c>
      <c r="C4" s="3" t="s">
        <v>2</v>
      </c>
      <c r="D4" s="3" t="s">
        <v>3</v>
      </c>
      <c r="E4" s="3" t="s">
        <v>4</v>
      </c>
      <c r="F4" s="3" t="s">
        <v>5</v>
      </c>
      <c r="G4" s="1"/>
      <c r="H4" s="32" t="s">
        <v>27</v>
      </c>
      <c r="I4" s="3" t="s">
        <v>2</v>
      </c>
      <c r="J4" s="3" t="s">
        <v>3</v>
      </c>
      <c r="K4" s="3" t="s">
        <v>4</v>
      </c>
      <c r="L4" s="3" t="s">
        <v>5</v>
      </c>
    </row>
    <row r="5" spans="1:12" x14ac:dyDescent="0.45">
      <c r="A5" s="1"/>
      <c r="B5" s="31"/>
      <c r="C5" s="4"/>
      <c r="D5" s="5"/>
      <c r="E5" s="6"/>
      <c r="F5" s="6"/>
      <c r="G5" s="1"/>
      <c r="H5" s="31"/>
      <c r="I5" s="4"/>
      <c r="J5" s="5"/>
      <c r="K5" s="7"/>
      <c r="L5" s="7"/>
    </row>
    <row r="6" spans="1:12" x14ac:dyDescent="0.45">
      <c r="A6" s="1"/>
      <c r="B6" s="31"/>
      <c r="C6" s="4"/>
      <c r="D6" s="5"/>
      <c r="E6" s="6"/>
      <c r="F6" s="6"/>
      <c r="G6" s="1"/>
      <c r="H6" s="31"/>
      <c r="I6" s="4"/>
      <c r="J6" s="5"/>
      <c r="K6" s="6"/>
      <c r="L6" s="6"/>
    </row>
    <row r="7" spans="1:12" x14ac:dyDescent="0.45">
      <c r="A7" s="1"/>
      <c r="B7" s="31"/>
      <c r="C7" s="4"/>
      <c r="D7" s="5"/>
      <c r="E7" s="6"/>
      <c r="F7" s="6"/>
      <c r="G7" s="1"/>
      <c r="H7" s="31"/>
      <c r="I7" s="4"/>
      <c r="J7" s="5"/>
      <c r="K7" s="6"/>
      <c r="L7" s="6"/>
    </row>
    <row r="8" spans="1:12" x14ac:dyDescent="0.45">
      <c r="A8" s="1"/>
      <c r="B8" s="31"/>
      <c r="C8" s="4"/>
      <c r="D8" s="5"/>
      <c r="E8" s="6"/>
      <c r="F8" s="6"/>
      <c r="G8" s="1"/>
      <c r="H8" s="31"/>
      <c r="I8" s="4"/>
      <c r="J8" s="5"/>
      <c r="K8" s="6"/>
      <c r="L8" s="6"/>
    </row>
    <row r="9" spans="1:12" x14ac:dyDescent="0.45">
      <c r="A9" s="1"/>
      <c r="B9" s="31"/>
      <c r="C9" s="4"/>
      <c r="D9" s="5"/>
      <c r="E9" s="6"/>
      <c r="F9" s="6"/>
      <c r="G9" s="1"/>
      <c r="H9" s="31"/>
      <c r="I9" s="4"/>
      <c r="J9" s="5"/>
      <c r="K9" s="6"/>
      <c r="L9" s="6"/>
    </row>
    <row r="10" spans="1:12" x14ac:dyDescent="0.45">
      <c r="A10" s="1"/>
      <c r="B10" s="31"/>
      <c r="C10" s="4"/>
      <c r="D10" s="5"/>
      <c r="E10" s="6"/>
      <c r="F10" s="6"/>
      <c r="G10" s="1"/>
      <c r="H10" s="31"/>
      <c r="I10" s="4"/>
      <c r="J10" s="5"/>
      <c r="K10" s="6"/>
      <c r="L10" s="6"/>
    </row>
    <row r="11" spans="1:12" x14ac:dyDescent="0.45">
      <c r="A11" s="1"/>
      <c r="B11" s="31"/>
      <c r="C11" s="4"/>
      <c r="D11" s="5"/>
      <c r="E11" s="6"/>
      <c r="F11" s="6"/>
      <c r="G11" s="1"/>
      <c r="H11" s="31"/>
      <c r="I11" s="4"/>
      <c r="J11" s="5"/>
      <c r="K11" s="6"/>
      <c r="L11" s="6"/>
    </row>
    <row r="12" spans="1:12" x14ac:dyDescent="0.45">
      <c r="A12" s="1"/>
      <c r="B12" s="31"/>
      <c r="C12" s="4"/>
      <c r="D12" s="5"/>
      <c r="E12" s="6"/>
      <c r="F12" s="6"/>
      <c r="G12" s="1"/>
      <c r="H12" s="31"/>
      <c r="I12" s="4"/>
      <c r="J12" s="5"/>
      <c r="K12" s="6"/>
      <c r="L12" s="6"/>
    </row>
    <row r="13" spans="1:12" ht="13.5" customHeight="1" x14ac:dyDescent="0.45">
      <c r="A13" s="1"/>
      <c r="B13" s="31"/>
      <c r="C13" s="4"/>
      <c r="D13" s="5"/>
      <c r="E13" s="6"/>
      <c r="F13" s="6"/>
      <c r="G13" s="1"/>
      <c r="H13" s="31"/>
      <c r="I13" s="4" t="s">
        <v>6</v>
      </c>
      <c r="J13" s="8"/>
      <c r="K13" s="6">
        <f>SUBTOTAL(9,Tableau446162645546170143241[Revenus])</f>
        <v>0</v>
      </c>
      <c r="L13" s="6">
        <f>SUBTOTAL(9,Tableau446162645546170143241[Dépenses])</f>
        <v>0</v>
      </c>
    </row>
    <row r="14" spans="1:12" ht="14.65" customHeight="1" x14ac:dyDescent="0.45">
      <c r="A14" s="1"/>
      <c r="B14" s="31"/>
      <c r="C14" s="26"/>
      <c r="D14" s="27"/>
      <c r="E14" s="28"/>
      <c r="F14" s="28"/>
      <c r="G14" s="1"/>
      <c r="H14" s="1"/>
      <c r="I14" s="1"/>
      <c r="J14" s="1"/>
      <c r="K14" s="1"/>
      <c r="L14" s="1"/>
    </row>
    <row r="15" spans="1:12" ht="14.65" customHeight="1" x14ac:dyDescent="0.45">
      <c r="A15" s="1"/>
      <c r="B15" s="31"/>
      <c r="C15" s="4" t="s">
        <v>6</v>
      </c>
      <c r="D15" s="8"/>
      <c r="E15" s="6">
        <f>SUBTOTAL(9,Tableau41323425158672233[Revenus])</f>
        <v>0</v>
      </c>
      <c r="F15" s="6">
        <f>SUBTOTAL(9,Tableau41323425158672233[Dépenses])</f>
        <v>0</v>
      </c>
      <c r="G15" s="1"/>
      <c r="H15" s="1"/>
      <c r="I15" s="1"/>
      <c r="J15" s="1"/>
      <c r="K15" s="1"/>
      <c r="L15" s="1"/>
    </row>
    <row r="16" spans="1:12" ht="14.65" customHeight="1" x14ac:dyDescent="0.45">
      <c r="A16" s="1"/>
      <c r="B16" s="10"/>
      <c r="C16" s="11"/>
      <c r="D16" s="11"/>
      <c r="E16" s="11"/>
      <c r="F16" s="11"/>
      <c r="G16" s="1"/>
      <c r="H16" s="1"/>
      <c r="I16" s="1"/>
      <c r="J16" s="1"/>
      <c r="K16" s="1"/>
      <c r="L16" s="1"/>
    </row>
    <row r="17" spans="1:12" x14ac:dyDescent="0.45">
      <c r="A17" s="1"/>
      <c r="B17" s="10"/>
      <c r="C17" s="12"/>
      <c r="D17" s="13"/>
      <c r="E17" s="9"/>
      <c r="F17" s="14"/>
      <c r="G17" s="1"/>
      <c r="H17" s="1"/>
      <c r="I17" s="1"/>
      <c r="J17" s="1"/>
      <c r="K17" s="1"/>
      <c r="L17" s="1"/>
    </row>
    <row r="18" spans="1:12" ht="18" customHeight="1" x14ac:dyDescent="0.45">
      <c r="A18" s="1"/>
      <c r="B18" s="32" t="s">
        <v>7</v>
      </c>
      <c r="C18" s="3" t="s">
        <v>2</v>
      </c>
      <c r="D18" s="3" t="s">
        <v>3</v>
      </c>
      <c r="E18" s="3" t="s">
        <v>4</v>
      </c>
      <c r="F18" s="3" t="s">
        <v>5</v>
      </c>
      <c r="G18" s="1"/>
      <c r="H18" s="33"/>
      <c r="I18" s="23"/>
      <c r="J18" s="23"/>
      <c r="K18" s="23"/>
      <c r="L18" s="23"/>
    </row>
    <row r="19" spans="1:12" x14ac:dyDescent="0.45">
      <c r="A19" s="1"/>
      <c r="B19" s="31"/>
      <c r="C19" s="4"/>
      <c r="D19" s="5"/>
      <c r="E19" s="7"/>
      <c r="F19" s="7"/>
      <c r="G19" s="1"/>
      <c r="H19" s="31"/>
      <c r="I19" s="20"/>
      <c r="J19" s="24"/>
      <c r="K19" s="25"/>
      <c r="L19" s="25"/>
    </row>
    <row r="20" spans="1:12" x14ac:dyDescent="0.45">
      <c r="A20" s="1"/>
      <c r="B20" s="31"/>
      <c r="C20" s="4"/>
      <c r="D20" s="5"/>
      <c r="E20" s="6"/>
      <c r="F20" s="6"/>
      <c r="G20" s="1"/>
      <c r="H20" s="31"/>
      <c r="I20" s="20"/>
      <c r="J20" s="24"/>
      <c r="K20" s="22"/>
      <c r="L20" s="22"/>
    </row>
    <row r="21" spans="1:12" x14ac:dyDescent="0.45">
      <c r="A21" s="1"/>
      <c r="B21" s="31"/>
      <c r="C21" s="4"/>
      <c r="D21" s="5"/>
      <c r="E21" s="6"/>
      <c r="F21" s="6"/>
      <c r="G21" s="1"/>
      <c r="H21" s="31"/>
      <c r="I21" s="20"/>
      <c r="J21" s="24"/>
      <c r="K21" s="22"/>
      <c r="L21" s="22"/>
    </row>
    <row r="22" spans="1:12" x14ac:dyDescent="0.45">
      <c r="A22" s="1"/>
      <c r="B22" s="31"/>
      <c r="C22" s="4"/>
      <c r="D22" s="5"/>
      <c r="E22" s="6"/>
      <c r="F22" s="6"/>
      <c r="G22" s="1"/>
      <c r="H22" s="31"/>
      <c r="I22" s="20"/>
      <c r="J22" s="24"/>
      <c r="K22" s="22"/>
      <c r="L22" s="22"/>
    </row>
    <row r="23" spans="1:12" x14ac:dyDescent="0.45">
      <c r="A23" s="1"/>
      <c r="B23" s="31"/>
      <c r="C23" s="4"/>
      <c r="D23" s="5"/>
      <c r="E23" s="6"/>
      <c r="F23" s="6"/>
      <c r="G23" s="1"/>
      <c r="H23" s="31"/>
      <c r="I23" s="20"/>
      <c r="J23" s="24"/>
      <c r="K23" s="22"/>
      <c r="L23" s="22"/>
    </row>
    <row r="24" spans="1:12" x14ac:dyDescent="0.45">
      <c r="A24" s="1"/>
      <c r="B24" s="31"/>
      <c r="C24" s="4"/>
      <c r="D24" s="5"/>
      <c r="E24" s="6"/>
      <c r="F24" s="6"/>
      <c r="G24" s="1"/>
      <c r="H24" s="31"/>
      <c r="I24" s="20"/>
      <c r="J24" s="24"/>
      <c r="K24" s="22"/>
      <c r="L24" s="22"/>
    </row>
    <row r="25" spans="1:12" x14ac:dyDescent="0.45">
      <c r="A25" s="1"/>
      <c r="B25" s="31"/>
      <c r="C25" s="4"/>
      <c r="D25" s="5"/>
      <c r="E25" s="6"/>
      <c r="F25" s="6"/>
      <c r="G25" s="1"/>
      <c r="H25" s="31"/>
      <c r="I25" s="20"/>
      <c r="J25" s="24"/>
      <c r="K25" s="22"/>
      <c r="L25" s="22"/>
    </row>
    <row r="26" spans="1:12" x14ac:dyDescent="0.45">
      <c r="A26" s="1"/>
      <c r="B26" s="31"/>
      <c r="C26" s="4"/>
      <c r="D26" s="5"/>
      <c r="E26" s="6"/>
      <c r="F26" s="6"/>
      <c r="G26" s="1"/>
      <c r="H26" s="31"/>
      <c r="I26" s="20"/>
      <c r="J26" s="24"/>
      <c r="K26" s="22"/>
      <c r="L26" s="22"/>
    </row>
    <row r="27" spans="1:12" x14ac:dyDescent="0.45">
      <c r="A27" s="1"/>
      <c r="B27" s="31"/>
      <c r="C27" s="4" t="s">
        <v>6</v>
      </c>
      <c r="D27" s="8"/>
      <c r="E27" s="6">
        <f>SUBTOTAL(9,Tableau4461626455461702834[Revenus])</f>
        <v>0</v>
      </c>
      <c r="F27" s="6">
        <f>SUBTOTAL(9,Tableau4461626455461702834[Dépenses])</f>
        <v>0</v>
      </c>
      <c r="G27" s="1"/>
      <c r="H27" s="31"/>
      <c r="I27" s="20"/>
      <c r="J27" s="21"/>
      <c r="K27" s="22"/>
      <c r="L27" s="22"/>
    </row>
    <row r="30" spans="1:12" ht="18" customHeight="1" x14ac:dyDescent="0.45">
      <c r="B30" s="33"/>
      <c r="C30" s="23"/>
      <c r="D30" s="23"/>
      <c r="E30" s="23"/>
      <c r="F30" s="23"/>
      <c r="H30" s="33"/>
      <c r="I30" s="23"/>
      <c r="J30" s="23"/>
      <c r="K30" s="23"/>
      <c r="L30" s="23"/>
    </row>
    <row r="31" spans="1:12" x14ac:dyDescent="0.45">
      <c r="B31" s="31"/>
      <c r="C31" s="20"/>
      <c r="D31" s="24"/>
      <c r="E31" s="25"/>
      <c r="F31" s="25"/>
      <c r="H31" s="31"/>
      <c r="I31" s="20"/>
      <c r="J31" s="24"/>
      <c r="K31" s="25"/>
      <c r="L31" s="25"/>
    </row>
    <row r="32" spans="1:12" x14ac:dyDescent="0.45">
      <c r="B32" s="31"/>
      <c r="C32" s="20"/>
      <c r="D32" s="24"/>
      <c r="E32" s="22"/>
      <c r="F32" s="22"/>
      <c r="H32" s="31"/>
      <c r="I32" s="20"/>
      <c r="J32" s="24"/>
      <c r="K32" s="22"/>
      <c r="L32" s="22"/>
    </row>
    <row r="33" spans="2:12" x14ac:dyDescent="0.45">
      <c r="B33" s="31"/>
      <c r="C33" s="20"/>
      <c r="D33" s="24"/>
      <c r="E33" s="22"/>
      <c r="F33" s="22"/>
      <c r="H33" s="31"/>
      <c r="I33" s="20"/>
      <c r="J33" s="24"/>
      <c r="K33" s="22"/>
      <c r="L33" s="22"/>
    </row>
    <row r="34" spans="2:12" x14ac:dyDescent="0.45">
      <c r="B34" s="31"/>
      <c r="C34" s="20"/>
      <c r="D34" s="24"/>
      <c r="E34" s="22"/>
      <c r="F34" s="22"/>
      <c r="H34" s="31"/>
      <c r="I34" s="20"/>
      <c r="J34" s="24"/>
      <c r="K34" s="22"/>
      <c r="L34" s="22"/>
    </row>
    <row r="35" spans="2:12" x14ac:dyDescent="0.45">
      <c r="B35" s="31"/>
      <c r="C35" s="20"/>
      <c r="D35" s="24"/>
      <c r="E35" s="22"/>
      <c r="F35" s="22"/>
      <c r="H35" s="31"/>
      <c r="I35" s="20"/>
      <c r="J35" s="24"/>
      <c r="K35" s="22"/>
      <c r="L35" s="22"/>
    </row>
    <row r="36" spans="2:12" x14ac:dyDescent="0.45">
      <c r="B36" s="31"/>
      <c r="C36" s="20"/>
      <c r="D36" s="24"/>
      <c r="E36" s="22"/>
      <c r="F36" s="22"/>
      <c r="H36" s="31"/>
      <c r="I36" s="20"/>
      <c r="J36" s="24"/>
      <c r="K36" s="22"/>
      <c r="L36" s="22"/>
    </row>
    <row r="37" spans="2:12" x14ac:dyDescent="0.45">
      <c r="B37" s="31"/>
      <c r="C37" s="20"/>
      <c r="D37" s="24"/>
      <c r="E37" s="22"/>
      <c r="F37" s="22"/>
      <c r="H37" s="31"/>
      <c r="I37" s="20"/>
      <c r="J37" s="24"/>
      <c r="K37" s="22"/>
      <c r="L37" s="22"/>
    </row>
    <row r="38" spans="2:12" x14ac:dyDescent="0.45">
      <c r="B38" s="31"/>
      <c r="C38" s="20"/>
      <c r="D38" s="24"/>
      <c r="E38" s="22"/>
      <c r="F38" s="22"/>
      <c r="H38" s="31"/>
      <c r="I38" s="20"/>
      <c r="J38" s="24"/>
      <c r="K38" s="22"/>
      <c r="L38" s="22"/>
    </row>
    <row r="39" spans="2:12" x14ac:dyDescent="0.45">
      <c r="B39" s="31"/>
      <c r="C39" s="20"/>
      <c r="D39" s="21"/>
      <c r="E39" s="22"/>
      <c r="F39" s="22"/>
      <c r="H39" s="31"/>
      <c r="I39" s="20"/>
      <c r="J39" s="21"/>
      <c r="K39" s="22"/>
      <c r="L39" s="22"/>
    </row>
    <row r="41" spans="2:12" x14ac:dyDescent="0.45">
      <c r="E41" s="16"/>
    </row>
    <row r="42" spans="2:12" ht="18" customHeight="1" x14ac:dyDescent="0.45">
      <c r="B42" s="33"/>
      <c r="C42" s="23"/>
      <c r="D42" s="23"/>
      <c r="E42" s="23"/>
      <c r="F42" s="23"/>
      <c r="H42" s="33"/>
      <c r="I42" s="23"/>
      <c r="J42" s="23"/>
      <c r="K42" s="23"/>
      <c r="L42" s="23"/>
    </row>
    <row r="43" spans="2:12" x14ac:dyDescent="0.45">
      <c r="B43" s="31"/>
      <c r="C43" s="20"/>
      <c r="D43" s="24"/>
      <c r="E43" s="25"/>
      <c r="F43" s="25"/>
      <c r="H43" s="31"/>
      <c r="I43" s="20"/>
      <c r="J43" s="24"/>
      <c r="K43" s="25"/>
      <c r="L43" s="25"/>
    </row>
    <row r="44" spans="2:12" x14ac:dyDescent="0.45">
      <c r="B44" s="31"/>
      <c r="C44" s="20"/>
      <c r="D44" s="24"/>
      <c r="E44" s="22"/>
      <c r="F44" s="22"/>
      <c r="H44" s="31"/>
      <c r="I44" s="20"/>
      <c r="J44" s="24"/>
      <c r="K44" s="22"/>
      <c r="L44" s="22"/>
    </row>
    <row r="45" spans="2:12" x14ac:dyDescent="0.45">
      <c r="B45" s="31"/>
      <c r="C45" s="20"/>
      <c r="D45" s="24"/>
      <c r="E45" s="22"/>
      <c r="F45" s="22"/>
      <c r="H45" s="31"/>
      <c r="I45" s="20"/>
      <c r="J45" s="24"/>
      <c r="K45" s="22"/>
      <c r="L45" s="22"/>
    </row>
    <row r="46" spans="2:12" x14ac:dyDescent="0.45">
      <c r="B46" s="31"/>
      <c r="C46" s="20"/>
      <c r="D46" s="24"/>
      <c r="E46" s="22"/>
      <c r="F46" s="22"/>
      <c r="H46" s="31"/>
      <c r="I46" s="20"/>
      <c r="J46" s="24"/>
      <c r="K46" s="22"/>
      <c r="L46" s="22"/>
    </row>
    <row r="47" spans="2:12" x14ac:dyDescent="0.45">
      <c r="B47" s="31"/>
      <c r="C47" s="20"/>
      <c r="D47" s="24"/>
      <c r="E47" s="22"/>
      <c r="F47" s="22"/>
      <c r="H47" s="31"/>
      <c r="I47" s="20"/>
      <c r="J47" s="24"/>
      <c r="K47" s="22"/>
      <c r="L47" s="22"/>
    </row>
    <row r="48" spans="2:12" x14ac:dyDescent="0.45">
      <c r="B48" s="31"/>
      <c r="C48" s="20"/>
      <c r="D48" s="24"/>
      <c r="E48" s="22"/>
      <c r="F48" s="22"/>
      <c r="H48" s="31"/>
      <c r="I48" s="20"/>
      <c r="J48" s="24"/>
      <c r="K48" s="22"/>
      <c r="L48" s="22"/>
    </row>
    <row r="49" spans="2:12" x14ac:dyDescent="0.45">
      <c r="B49" s="31"/>
      <c r="C49" s="20"/>
      <c r="D49" s="24"/>
      <c r="E49" s="22"/>
      <c r="F49" s="22"/>
      <c r="H49" s="31"/>
      <c r="I49" s="20"/>
      <c r="J49" s="24"/>
      <c r="K49" s="22"/>
      <c r="L49" s="22"/>
    </row>
    <row r="50" spans="2:12" x14ac:dyDescent="0.45">
      <c r="B50" s="31"/>
      <c r="C50" s="20"/>
      <c r="D50" s="24"/>
      <c r="E50" s="22"/>
      <c r="F50" s="22"/>
      <c r="H50" s="31"/>
      <c r="I50" s="20"/>
      <c r="J50" s="24"/>
      <c r="K50" s="22"/>
      <c r="L50" s="22"/>
    </row>
    <row r="51" spans="2:12" x14ac:dyDescent="0.45">
      <c r="B51" s="31"/>
      <c r="C51" s="20"/>
      <c r="D51" s="21"/>
      <c r="E51" s="22"/>
      <c r="F51" s="22"/>
      <c r="H51" s="31"/>
      <c r="I51" s="20"/>
      <c r="J51" s="21"/>
      <c r="K51" s="22"/>
      <c r="L51" s="22"/>
    </row>
    <row r="53" spans="2:12" x14ac:dyDescent="0.45">
      <c r="E53" s="16"/>
      <c r="K53" s="16"/>
    </row>
    <row r="54" spans="2:12" ht="18" customHeight="1" x14ac:dyDescent="0.45">
      <c r="B54" s="33"/>
      <c r="C54" s="23"/>
      <c r="D54" s="23"/>
      <c r="E54" s="23"/>
      <c r="F54" s="23"/>
      <c r="H54" s="33"/>
      <c r="I54" s="23"/>
      <c r="J54" s="23"/>
      <c r="K54" s="23"/>
      <c r="L54" s="23"/>
    </row>
    <row r="55" spans="2:12" x14ac:dyDescent="0.45">
      <c r="B55" s="31"/>
      <c r="C55" s="20"/>
      <c r="D55" s="24"/>
      <c r="E55" s="25"/>
      <c r="F55" s="25"/>
      <c r="H55" s="31"/>
      <c r="I55" s="20"/>
      <c r="J55" s="24"/>
      <c r="K55" s="25"/>
      <c r="L55" s="25"/>
    </row>
    <row r="56" spans="2:12" x14ac:dyDescent="0.45">
      <c r="B56" s="31"/>
      <c r="C56" s="20"/>
      <c r="D56" s="24"/>
      <c r="E56" s="22"/>
      <c r="F56" s="22"/>
      <c r="H56" s="31"/>
      <c r="I56" s="20"/>
      <c r="J56" s="24"/>
      <c r="K56" s="22"/>
      <c r="L56" s="22"/>
    </row>
    <row r="57" spans="2:12" x14ac:dyDescent="0.45">
      <c r="B57" s="31"/>
      <c r="C57" s="20"/>
      <c r="D57" s="24"/>
      <c r="E57" s="22"/>
      <c r="F57" s="22"/>
      <c r="H57" s="31"/>
      <c r="I57" s="20"/>
      <c r="J57" s="24"/>
      <c r="K57" s="22"/>
      <c r="L57" s="22"/>
    </row>
    <row r="58" spans="2:12" x14ac:dyDescent="0.45">
      <c r="B58" s="31"/>
      <c r="C58" s="20"/>
      <c r="D58" s="24"/>
      <c r="E58" s="22"/>
      <c r="F58" s="22"/>
      <c r="H58" s="31"/>
      <c r="I58" s="20"/>
      <c r="J58" s="24"/>
      <c r="K58" s="22"/>
      <c r="L58" s="22"/>
    </row>
    <row r="59" spans="2:12" x14ac:dyDescent="0.45">
      <c r="B59" s="31"/>
      <c r="C59" s="20"/>
      <c r="D59" s="24"/>
      <c r="E59" s="22"/>
      <c r="F59" s="22"/>
      <c r="H59" s="31"/>
      <c r="I59" s="20"/>
      <c r="J59" s="24"/>
      <c r="K59" s="22"/>
      <c r="L59" s="22"/>
    </row>
    <row r="60" spans="2:12" x14ac:dyDescent="0.45">
      <c r="B60" s="31"/>
      <c r="C60" s="20"/>
      <c r="D60" s="24"/>
      <c r="E60" s="22"/>
      <c r="F60" s="22"/>
      <c r="H60" s="31"/>
      <c r="I60" s="20"/>
      <c r="J60" s="24"/>
      <c r="K60" s="22"/>
      <c r="L60" s="22"/>
    </row>
    <row r="61" spans="2:12" x14ac:dyDescent="0.45">
      <c r="B61" s="31"/>
      <c r="C61" s="20"/>
      <c r="D61" s="24"/>
      <c r="E61" s="22"/>
      <c r="F61" s="22"/>
      <c r="H61" s="31"/>
      <c r="I61" s="20"/>
      <c r="J61" s="24"/>
      <c r="K61" s="22"/>
      <c r="L61" s="22"/>
    </row>
    <row r="62" spans="2:12" x14ac:dyDescent="0.45">
      <c r="B62" s="31"/>
      <c r="C62" s="20"/>
      <c r="D62" s="24"/>
      <c r="E62" s="22"/>
      <c r="F62" s="22"/>
      <c r="H62" s="31"/>
      <c r="I62" s="20"/>
      <c r="J62" s="24"/>
      <c r="K62" s="22"/>
      <c r="L62" s="22"/>
    </row>
    <row r="63" spans="2:12" x14ac:dyDescent="0.45">
      <c r="B63" s="31"/>
      <c r="C63" s="20"/>
      <c r="D63" s="21"/>
      <c r="E63" s="22"/>
      <c r="F63" s="22"/>
      <c r="H63" s="31"/>
      <c r="I63" s="20"/>
      <c r="J63" s="21"/>
      <c r="K63" s="22"/>
      <c r="L63" s="22"/>
    </row>
    <row r="66" spans="2:6" ht="18" customHeight="1" x14ac:dyDescent="0.45">
      <c r="B66" s="33"/>
      <c r="C66" s="23"/>
      <c r="D66" s="23"/>
      <c r="E66" s="23"/>
      <c r="F66" s="23"/>
    </row>
    <row r="67" spans="2:6" x14ac:dyDescent="0.45">
      <c r="B67" s="31"/>
      <c r="C67" s="20"/>
      <c r="D67" s="24"/>
      <c r="E67" s="25"/>
      <c r="F67" s="25"/>
    </row>
    <row r="68" spans="2:6" x14ac:dyDescent="0.45">
      <c r="B68" s="31"/>
      <c r="C68" s="20"/>
      <c r="D68" s="24"/>
      <c r="E68" s="22"/>
      <c r="F68" s="22"/>
    </row>
    <row r="69" spans="2:6" x14ac:dyDescent="0.45">
      <c r="B69" s="31"/>
      <c r="C69" s="20"/>
      <c r="D69" s="24"/>
      <c r="E69" s="22"/>
      <c r="F69" s="22"/>
    </row>
    <row r="70" spans="2:6" x14ac:dyDescent="0.45">
      <c r="B70" s="31"/>
      <c r="C70" s="20"/>
      <c r="D70" s="24"/>
      <c r="E70" s="22"/>
      <c r="F70" s="22"/>
    </row>
    <row r="71" spans="2:6" x14ac:dyDescent="0.45">
      <c r="B71" s="31"/>
      <c r="C71" s="20"/>
      <c r="D71" s="24"/>
      <c r="E71" s="22"/>
      <c r="F71" s="22"/>
    </row>
    <row r="72" spans="2:6" x14ac:dyDescent="0.45">
      <c r="B72" s="31"/>
      <c r="C72" s="20"/>
      <c r="D72" s="24"/>
      <c r="E72" s="22"/>
      <c r="F72" s="22"/>
    </row>
    <row r="73" spans="2:6" x14ac:dyDescent="0.45">
      <c r="B73" s="31"/>
      <c r="C73" s="20"/>
      <c r="D73" s="24"/>
      <c r="E73" s="22"/>
      <c r="F73" s="22"/>
    </row>
    <row r="74" spans="2:6" x14ac:dyDescent="0.45">
      <c r="B74" s="31"/>
      <c r="C74" s="20"/>
      <c r="D74" s="24"/>
      <c r="E74" s="22"/>
      <c r="F74" s="22"/>
    </row>
    <row r="75" spans="2:6" x14ac:dyDescent="0.45">
      <c r="B75" s="31"/>
      <c r="C75" s="20"/>
      <c r="D75" s="21"/>
      <c r="E75" s="22"/>
      <c r="F75" s="22"/>
    </row>
  </sheetData>
  <mergeCells count="12">
    <mergeCell ref="B66:B75"/>
    <mergeCell ref="B4:B15"/>
    <mergeCell ref="H42:H51"/>
    <mergeCell ref="C2:F2"/>
    <mergeCell ref="H54:H63"/>
    <mergeCell ref="B18:B27"/>
    <mergeCell ref="B54:B63"/>
    <mergeCell ref="H18:H27"/>
    <mergeCell ref="H4:H13"/>
    <mergeCell ref="B30:B39"/>
    <mergeCell ref="H30:H39"/>
    <mergeCell ref="B42:B51"/>
  </mergeCells>
  <pageMargins left="0.7" right="0.7" top="0.75" bottom="0.75" header="0.3" footer="0.3"/>
  <pageSetup paperSize="9" orientation="portrait"/>
  <tableParts count="3">
    <tablePart r:id="rId1"/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73"/>
  <sheetViews>
    <sheetView topLeftCell="A22" zoomScale="66" workbookViewId="0">
      <selection activeCell="C29" sqref="C29:F34"/>
    </sheetView>
  </sheetViews>
  <sheetFormatPr baseColWidth="10" defaultColWidth="9.06640625" defaultRowHeight="14.25" x14ac:dyDescent="0.45"/>
  <cols>
    <col min="1" max="1" width="5.9296875" style="15" customWidth="1"/>
    <col min="2" max="2" width="9.06640625" style="15" customWidth="1"/>
    <col min="3" max="3" width="35.6640625" style="15" customWidth="1"/>
    <col min="4" max="4" width="20.53125" style="15" customWidth="1"/>
    <col min="5" max="5" width="20.59765625" style="15" customWidth="1"/>
    <col min="6" max="6" width="20.6640625" style="15" customWidth="1"/>
    <col min="7" max="8" width="9.06640625" style="15" customWidth="1"/>
    <col min="9" max="9" width="35.6640625" style="15" customWidth="1"/>
    <col min="10" max="11" width="20.59765625" style="15" customWidth="1"/>
    <col min="12" max="12" width="20.6640625" style="15" customWidth="1"/>
    <col min="13" max="23" width="9.06640625" style="15" customWidth="1"/>
    <col min="24" max="16384" width="9.06640625" style="15"/>
  </cols>
  <sheetData>
    <row r="1" spans="1:12" ht="28.15" customHeight="1" thickBot="1" x14ac:dyDescent="0.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33.4" customHeight="1" thickBot="1" x14ac:dyDescent="0.5">
      <c r="A2" s="1"/>
      <c r="B2" s="1"/>
      <c r="C2" s="30" t="s">
        <v>28</v>
      </c>
      <c r="D2" s="31"/>
      <c r="E2" s="31"/>
      <c r="F2" s="31"/>
      <c r="G2" s="1"/>
      <c r="H2" s="2"/>
      <c r="I2" s="19" t="s">
        <v>1</v>
      </c>
      <c r="J2" s="18"/>
      <c r="K2" s="17"/>
      <c r="L2" s="17"/>
    </row>
    <row r="3" spans="1:12" x14ac:dyDescent="0.4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 ht="18" customHeight="1" x14ac:dyDescent="0.45">
      <c r="A4" s="1"/>
      <c r="B4" s="32" t="s">
        <v>29</v>
      </c>
      <c r="C4" s="3" t="s">
        <v>2</v>
      </c>
      <c r="D4" s="3" t="s">
        <v>3</v>
      </c>
      <c r="E4" s="3" t="s">
        <v>4</v>
      </c>
      <c r="F4" s="3" t="s">
        <v>5</v>
      </c>
      <c r="G4" s="1"/>
      <c r="H4" s="32" t="s">
        <v>30</v>
      </c>
      <c r="I4" s="3" t="s">
        <v>2</v>
      </c>
      <c r="J4" s="3" t="s">
        <v>3</v>
      </c>
      <c r="K4" s="3" t="s">
        <v>4</v>
      </c>
      <c r="L4" s="3" t="s">
        <v>5</v>
      </c>
    </row>
    <row r="5" spans="1:12" x14ac:dyDescent="0.45">
      <c r="A5" s="1"/>
      <c r="B5" s="31"/>
      <c r="C5" s="4"/>
      <c r="D5" s="5"/>
      <c r="E5" s="6"/>
      <c r="F5" s="6"/>
      <c r="G5" s="1"/>
      <c r="H5" s="31"/>
      <c r="I5" s="4"/>
      <c r="J5" s="5"/>
      <c r="K5" s="7"/>
      <c r="L5" s="7"/>
    </row>
    <row r="6" spans="1:12" x14ac:dyDescent="0.45">
      <c r="A6" s="1"/>
      <c r="B6" s="31"/>
      <c r="C6" s="4"/>
      <c r="D6" s="5"/>
      <c r="E6" s="6"/>
      <c r="F6" s="6"/>
      <c r="G6" s="1"/>
      <c r="H6" s="31"/>
      <c r="I6" s="4"/>
      <c r="J6" s="5"/>
      <c r="K6" s="6"/>
      <c r="L6" s="6"/>
    </row>
    <row r="7" spans="1:12" x14ac:dyDescent="0.45">
      <c r="A7" s="1"/>
      <c r="B7" s="31"/>
      <c r="C7" s="4"/>
      <c r="D7" s="5"/>
      <c r="E7" s="6"/>
      <c r="F7" s="6"/>
      <c r="G7" s="1"/>
      <c r="H7" s="31"/>
      <c r="I7" s="4"/>
      <c r="J7" s="5"/>
      <c r="K7" s="6"/>
      <c r="L7" s="6"/>
    </row>
    <row r="8" spans="1:12" x14ac:dyDescent="0.45">
      <c r="A8" s="1"/>
      <c r="B8" s="31"/>
      <c r="C8" s="4"/>
      <c r="D8" s="5"/>
      <c r="E8" s="6"/>
      <c r="F8" s="6"/>
      <c r="G8" s="1"/>
      <c r="H8" s="31"/>
      <c r="I8" s="4"/>
      <c r="J8" s="5"/>
      <c r="K8" s="6"/>
      <c r="L8" s="6"/>
    </row>
    <row r="9" spans="1:12" x14ac:dyDescent="0.45">
      <c r="A9" s="1"/>
      <c r="B9" s="31"/>
      <c r="C9" s="4"/>
      <c r="D9" s="5"/>
      <c r="E9" s="6"/>
      <c r="F9" s="6"/>
      <c r="G9" s="1"/>
      <c r="H9" s="31"/>
      <c r="I9" s="4"/>
      <c r="J9" s="5"/>
      <c r="K9" s="6"/>
      <c r="L9" s="6"/>
    </row>
    <row r="10" spans="1:12" x14ac:dyDescent="0.45">
      <c r="A10" s="1"/>
      <c r="B10" s="31"/>
      <c r="C10" s="4"/>
      <c r="D10" s="5"/>
      <c r="E10" s="6"/>
      <c r="F10" s="6"/>
      <c r="G10" s="1"/>
      <c r="H10" s="31"/>
      <c r="I10" s="4"/>
      <c r="J10" s="5"/>
      <c r="K10" s="6"/>
      <c r="L10" s="6"/>
    </row>
    <row r="11" spans="1:12" x14ac:dyDescent="0.45">
      <c r="A11" s="1"/>
      <c r="B11" s="31"/>
      <c r="C11" s="4"/>
      <c r="D11" s="5"/>
      <c r="E11" s="6"/>
      <c r="F11" s="6"/>
      <c r="G11" s="1"/>
      <c r="H11" s="31"/>
      <c r="I11" s="4"/>
      <c r="J11" s="5"/>
      <c r="K11" s="6"/>
      <c r="L11" s="6"/>
    </row>
    <row r="12" spans="1:12" x14ac:dyDescent="0.45">
      <c r="A12" s="1"/>
      <c r="B12" s="31"/>
      <c r="C12" s="4"/>
      <c r="D12" s="5"/>
      <c r="E12" s="6"/>
      <c r="F12" s="6"/>
      <c r="G12" s="1"/>
      <c r="H12" s="31"/>
      <c r="I12" s="4"/>
      <c r="J12" s="5"/>
      <c r="K12" s="6"/>
      <c r="L12" s="6"/>
    </row>
    <row r="13" spans="1:12" x14ac:dyDescent="0.45">
      <c r="A13" s="1"/>
      <c r="B13" s="31"/>
      <c r="C13" s="4" t="s">
        <v>6</v>
      </c>
      <c r="D13" s="8"/>
      <c r="E13" s="6">
        <f>SUBTOTAL(9,Tableau413234251586722[Revenus])</f>
        <v>0</v>
      </c>
      <c r="F13" s="6">
        <f>SUBTOTAL(9,Tableau413234251586722[Dépenses])</f>
        <v>0</v>
      </c>
      <c r="G13" s="1"/>
      <c r="H13" s="31"/>
      <c r="I13" s="4" t="s">
        <v>6</v>
      </c>
      <c r="J13" s="8"/>
      <c r="K13" s="6">
        <f>SUBTOTAL(9,Tableau4461626455461701432[Revenus])</f>
        <v>0</v>
      </c>
      <c r="L13" s="6">
        <f>SUBTOTAL(9,Tableau4461626455461701432[Dépenses])</f>
        <v>0</v>
      </c>
    </row>
    <row r="14" spans="1:12" ht="14.65" customHeight="1" x14ac:dyDescent="0.45">
      <c r="A14" s="1"/>
      <c r="B14" s="10"/>
      <c r="C14" s="11"/>
      <c r="D14" s="11"/>
      <c r="E14" s="11"/>
      <c r="F14" s="11"/>
      <c r="G14" s="1"/>
      <c r="H14" s="1"/>
      <c r="I14" s="1"/>
      <c r="J14" s="1"/>
      <c r="K14" s="1"/>
      <c r="L14" s="1"/>
    </row>
    <row r="15" spans="1:12" x14ac:dyDescent="0.45">
      <c r="A15" s="1"/>
      <c r="B15" s="10"/>
      <c r="C15" s="12"/>
      <c r="D15" s="13"/>
      <c r="E15" s="9"/>
      <c r="F15" s="14"/>
      <c r="G15" s="1"/>
      <c r="H15" s="1"/>
      <c r="I15" s="1"/>
      <c r="J15" s="1"/>
      <c r="K15" s="1"/>
      <c r="L15" s="1"/>
    </row>
    <row r="16" spans="1:12" ht="18" customHeight="1" x14ac:dyDescent="0.45">
      <c r="A16" s="1"/>
      <c r="B16" s="32" t="s">
        <v>31</v>
      </c>
      <c r="C16" s="3" t="s">
        <v>2</v>
      </c>
      <c r="D16" s="3" t="s">
        <v>3</v>
      </c>
      <c r="E16" s="3" t="s">
        <v>4</v>
      </c>
      <c r="F16" s="3" t="s">
        <v>5</v>
      </c>
      <c r="G16" s="1"/>
      <c r="H16" s="32" t="s">
        <v>32</v>
      </c>
      <c r="I16" s="3" t="s">
        <v>2</v>
      </c>
      <c r="J16" s="3" t="s">
        <v>3</v>
      </c>
      <c r="K16" s="3" t="s">
        <v>4</v>
      </c>
      <c r="L16" s="3" t="s">
        <v>5</v>
      </c>
    </row>
    <row r="17" spans="1:12" x14ac:dyDescent="0.45">
      <c r="A17" s="1"/>
      <c r="B17" s="31"/>
      <c r="C17" s="4"/>
      <c r="D17" s="5"/>
      <c r="E17" s="7"/>
      <c r="F17" s="7"/>
      <c r="G17" s="1"/>
      <c r="H17" s="31"/>
      <c r="I17" s="4"/>
      <c r="J17" s="5"/>
      <c r="K17" s="7"/>
      <c r="L17" s="7"/>
    </row>
    <row r="18" spans="1:12" x14ac:dyDescent="0.45">
      <c r="A18" s="1"/>
      <c r="B18" s="31"/>
      <c r="C18" s="4"/>
      <c r="D18" s="5"/>
      <c r="E18" s="6"/>
      <c r="F18" s="6"/>
      <c r="G18" s="1"/>
      <c r="H18" s="31"/>
      <c r="I18" s="4"/>
      <c r="J18" s="5"/>
      <c r="K18" s="6"/>
      <c r="L18" s="6"/>
    </row>
    <row r="19" spans="1:12" x14ac:dyDescent="0.45">
      <c r="A19" s="1"/>
      <c r="B19" s="31"/>
      <c r="C19" s="4"/>
      <c r="D19" s="5"/>
      <c r="E19" s="6"/>
      <c r="F19" s="6"/>
      <c r="G19" s="1"/>
      <c r="H19" s="31"/>
      <c r="I19" s="4"/>
      <c r="J19" s="5"/>
      <c r="K19" s="6"/>
      <c r="L19" s="6"/>
    </row>
    <row r="20" spans="1:12" x14ac:dyDescent="0.45">
      <c r="A20" s="1"/>
      <c r="B20" s="31"/>
      <c r="C20" s="4"/>
      <c r="D20" s="5"/>
      <c r="E20" s="6"/>
      <c r="F20" s="6"/>
      <c r="G20" s="1"/>
      <c r="H20" s="31"/>
      <c r="I20" s="4"/>
      <c r="J20" s="5"/>
      <c r="K20" s="6"/>
      <c r="L20" s="6"/>
    </row>
    <row r="21" spans="1:12" x14ac:dyDescent="0.45">
      <c r="A21" s="1"/>
      <c r="B21" s="31"/>
      <c r="C21" s="4"/>
      <c r="D21" s="5"/>
      <c r="E21" s="6"/>
      <c r="F21" s="6"/>
      <c r="G21" s="1"/>
      <c r="H21" s="31"/>
      <c r="I21" s="4"/>
      <c r="J21" s="5"/>
      <c r="K21" s="6"/>
      <c r="L21" s="6"/>
    </row>
    <row r="22" spans="1:12" x14ac:dyDescent="0.45">
      <c r="A22" s="1"/>
      <c r="B22" s="31"/>
      <c r="C22" s="4"/>
      <c r="D22" s="5"/>
      <c r="E22" s="6"/>
      <c r="F22" s="6"/>
      <c r="G22" s="1"/>
      <c r="H22" s="31"/>
      <c r="I22" s="4"/>
      <c r="J22" s="5"/>
      <c r="K22" s="6"/>
      <c r="L22" s="6"/>
    </row>
    <row r="23" spans="1:12" x14ac:dyDescent="0.45">
      <c r="A23" s="1"/>
      <c r="B23" s="31"/>
      <c r="C23" s="4"/>
      <c r="D23" s="5"/>
      <c r="E23" s="6"/>
      <c r="F23" s="6"/>
      <c r="G23" s="1"/>
      <c r="H23" s="31"/>
      <c r="I23" s="4"/>
      <c r="J23" s="5"/>
      <c r="K23" s="6"/>
      <c r="L23" s="6"/>
    </row>
    <row r="24" spans="1:12" x14ac:dyDescent="0.45">
      <c r="A24" s="1"/>
      <c r="B24" s="31"/>
      <c r="C24" s="4"/>
      <c r="D24" s="5"/>
      <c r="E24" s="6"/>
      <c r="F24" s="6"/>
      <c r="G24" s="1"/>
      <c r="H24" s="31"/>
      <c r="I24" s="4"/>
      <c r="J24" s="5"/>
      <c r="K24" s="6"/>
      <c r="L24" s="6"/>
    </row>
    <row r="25" spans="1:12" x14ac:dyDescent="0.45">
      <c r="A25" s="1"/>
      <c r="B25" s="31"/>
      <c r="C25" s="4" t="s">
        <v>6</v>
      </c>
      <c r="D25" s="8"/>
      <c r="E25" s="6">
        <f>SUBTOTAL(9,Tableau44616264554617028[Revenus])</f>
        <v>0</v>
      </c>
      <c r="F25" s="6">
        <f>SUBTOTAL(9,Tableau44616264554617028[Dépenses])</f>
        <v>0</v>
      </c>
      <c r="G25" s="1"/>
      <c r="H25" s="31"/>
      <c r="I25" s="4" t="s">
        <v>6</v>
      </c>
      <c r="J25" s="8"/>
      <c r="K25" s="6">
        <f>SUBTOTAL(9,Tableau4461626455461702024[Revenus])</f>
        <v>0</v>
      </c>
      <c r="L25" s="6">
        <f>SUBTOTAL(9,Tableau4461626455461702024[Dépenses])</f>
        <v>0</v>
      </c>
    </row>
    <row r="28" spans="1:12" ht="18" customHeight="1" x14ac:dyDescent="0.45">
      <c r="B28" s="32" t="s">
        <v>33</v>
      </c>
      <c r="C28" s="3" t="s">
        <v>2</v>
      </c>
      <c r="D28" s="3" t="s">
        <v>3</v>
      </c>
      <c r="E28" s="3" t="s">
        <v>4</v>
      </c>
      <c r="F28" s="3" t="s">
        <v>5</v>
      </c>
      <c r="H28" s="32" t="s">
        <v>34</v>
      </c>
      <c r="I28" s="3" t="s">
        <v>2</v>
      </c>
      <c r="J28" s="3" t="s">
        <v>3</v>
      </c>
      <c r="K28" s="3" t="s">
        <v>4</v>
      </c>
      <c r="L28" s="3" t="s">
        <v>5</v>
      </c>
    </row>
    <row r="29" spans="1:12" x14ac:dyDescent="0.45">
      <c r="B29" s="31"/>
      <c r="C29" s="4"/>
      <c r="D29" s="5"/>
      <c r="E29" s="7"/>
      <c r="F29" s="7"/>
      <c r="H29" s="31"/>
      <c r="I29" s="4"/>
      <c r="J29" s="5"/>
      <c r="K29" s="7"/>
      <c r="L29" s="7"/>
    </row>
    <row r="30" spans="1:12" x14ac:dyDescent="0.45">
      <c r="B30" s="31"/>
      <c r="C30" s="4"/>
      <c r="D30" s="5"/>
      <c r="E30" s="6"/>
      <c r="F30" s="6"/>
      <c r="H30" s="31"/>
      <c r="I30" s="4"/>
      <c r="J30" s="5"/>
      <c r="K30" s="6"/>
      <c r="L30" s="6"/>
    </row>
    <row r="31" spans="1:12" x14ac:dyDescent="0.45">
      <c r="B31" s="31"/>
      <c r="C31" s="4"/>
      <c r="D31" s="5"/>
      <c r="E31" s="6"/>
      <c r="F31" s="6"/>
      <c r="H31" s="31"/>
      <c r="I31" s="4"/>
      <c r="J31" s="5"/>
      <c r="K31" s="6"/>
      <c r="L31" s="6"/>
    </row>
    <row r="32" spans="1:12" x14ac:dyDescent="0.45">
      <c r="B32" s="31"/>
      <c r="C32" s="4"/>
      <c r="D32" s="5"/>
      <c r="E32" s="6"/>
      <c r="F32" s="6"/>
      <c r="H32" s="31"/>
      <c r="I32" s="4"/>
      <c r="J32" s="5"/>
      <c r="K32" s="6"/>
      <c r="L32" s="6"/>
    </row>
    <row r="33" spans="2:12" x14ac:dyDescent="0.45">
      <c r="B33" s="31"/>
      <c r="C33" s="4"/>
      <c r="D33" s="5"/>
      <c r="E33" s="6"/>
      <c r="F33" s="6"/>
      <c r="H33" s="31"/>
      <c r="I33" s="4"/>
      <c r="J33" s="5"/>
      <c r="K33" s="6"/>
      <c r="L33" s="6"/>
    </row>
    <row r="34" spans="2:12" x14ac:dyDescent="0.45">
      <c r="B34" s="31"/>
      <c r="C34" s="4"/>
      <c r="D34" s="5"/>
      <c r="E34" s="6"/>
      <c r="F34" s="6"/>
      <c r="H34" s="31"/>
      <c r="I34" s="4"/>
      <c r="J34" s="5"/>
      <c r="K34" s="6"/>
      <c r="L34" s="6"/>
    </row>
    <row r="35" spans="2:12" x14ac:dyDescent="0.45">
      <c r="B35" s="31"/>
      <c r="C35" s="4"/>
      <c r="D35" s="5"/>
      <c r="E35" s="6"/>
      <c r="F35" s="6"/>
      <c r="H35" s="31"/>
      <c r="I35" s="4"/>
      <c r="J35" s="5"/>
      <c r="K35" s="6"/>
      <c r="L35" s="6"/>
    </row>
    <row r="36" spans="2:12" x14ac:dyDescent="0.45">
      <c r="B36" s="31"/>
      <c r="C36" s="4"/>
      <c r="D36" s="5"/>
      <c r="E36" s="6"/>
      <c r="F36" s="6"/>
      <c r="H36" s="31"/>
      <c r="I36" s="4"/>
      <c r="J36" s="5"/>
      <c r="K36" s="6"/>
      <c r="L36" s="6"/>
    </row>
    <row r="37" spans="2:12" x14ac:dyDescent="0.45">
      <c r="B37" s="31"/>
      <c r="C37" s="4" t="s">
        <v>6</v>
      </c>
      <c r="D37" s="8"/>
      <c r="E37" s="6">
        <f>SUBTOTAL(9,Tableau4461626455461702125[Revenus])</f>
        <v>0</v>
      </c>
      <c r="F37" s="6">
        <f>SUBTOTAL(9,Tableau4461626455461702125[Dépenses])</f>
        <v>0</v>
      </c>
      <c r="H37" s="31"/>
      <c r="I37" s="4" t="s">
        <v>6</v>
      </c>
      <c r="J37" s="8"/>
      <c r="K37" s="6">
        <f>SUBTOTAL(9,Tableau4461626455461702226[Revenus])</f>
        <v>0</v>
      </c>
      <c r="L37" s="6">
        <f>SUBTOTAL(9,Tableau4461626455461702226[Dépenses])</f>
        <v>0</v>
      </c>
    </row>
    <row r="39" spans="2:12" x14ac:dyDescent="0.45">
      <c r="E39" s="16"/>
    </row>
    <row r="40" spans="2:12" ht="18" customHeight="1" x14ac:dyDescent="0.45">
      <c r="B40" s="32" t="s">
        <v>35</v>
      </c>
      <c r="C40" s="3" t="s">
        <v>2</v>
      </c>
      <c r="D40" s="3" t="s">
        <v>3</v>
      </c>
      <c r="E40" s="3" t="s">
        <v>4</v>
      </c>
      <c r="F40" s="3" t="s">
        <v>5</v>
      </c>
      <c r="H40" s="32" t="s">
        <v>36</v>
      </c>
      <c r="I40" s="3" t="s">
        <v>2</v>
      </c>
      <c r="J40" s="3" t="s">
        <v>3</v>
      </c>
      <c r="K40" s="3" t="s">
        <v>4</v>
      </c>
      <c r="L40" s="3" t="s">
        <v>5</v>
      </c>
    </row>
    <row r="41" spans="2:12" x14ac:dyDescent="0.45">
      <c r="B41" s="31"/>
      <c r="C41" s="4"/>
      <c r="D41" s="5"/>
      <c r="E41" s="7"/>
      <c r="F41" s="7"/>
      <c r="H41" s="31"/>
      <c r="I41" s="4"/>
      <c r="J41" s="5"/>
      <c r="K41" s="7"/>
      <c r="L41" s="7"/>
    </row>
    <row r="42" spans="2:12" x14ac:dyDescent="0.45">
      <c r="B42" s="31"/>
      <c r="C42" s="4"/>
      <c r="D42" s="5"/>
      <c r="E42" s="6"/>
      <c r="F42" s="6"/>
      <c r="H42" s="31"/>
      <c r="I42" s="4"/>
      <c r="J42" s="5"/>
      <c r="K42" s="6"/>
      <c r="L42" s="6"/>
    </row>
    <row r="43" spans="2:12" x14ac:dyDescent="0.45">
      <c r="B43" s="31"/>
      <c r="C43" s="4"/>
      <c r="D43" s="5"/>
      <c r="E43" s="6"/>
      <c r="F43" s="6"/>
      <c r="H43" s="31"/>
      <c r="I43" s="4"/>
      <c r="J43" s="5"/>
      <c r="K43" s="6"/>
      <c r="L43" s="6"/>
    </row>
    <row r="44" spans="2:12" x14ac:dyDescent="0.45">
      <c r="B44" s="31"/>
      <c r="C44" s="4"/>
      <c r="D44" s="5"/>
      <c r="E44" s="6"/>
      <c r="F44" s="6"/>
      <c r="H44" s="31"/>
      <c r="I44" s="4"/>
      <c r="J44" s="5"/>
      <c r="K44" s="6"/>
      <c r="L44" s="6"/>
    </row>
    <row r="45" spans="2:12" x14ac:dyDescent="0.45">
      <c r="B45" s="31"/>
      <c r="C45" s="4"/>
      <c r="D45" s="5"/>
      <c r="E45" s="6"/>
      <c r="F45" s="6"/>
      <c r="H45" s="31"/>
      <c r="I45" s="4"/>
      <c r="J45" s="5"/>
      <c r="K45" s="6"/>
      <c r="L45" s="6"/>
    </row>
    <row r="46" spans="2:12" x14ac:dyDescent="0.45">
      <c r="B46" s="31"/>
      <c r="C46" s="4"/>
      <c r="D46" s="5"/>
      <c r="E46" s="6"/>
      <c r="F46" s="6"/>
      <c r="H46" s="31"/>
      <c r="I46" s="4"/>
      <c r="J46" s="5"/>
      <c r="K46" s="6"/>
      <c r="L46" s="6"/>
    </row>
    <row r="47" spans="2:12" x14ac:dyDescent="0.45">
      <c r="B47" s="31"/>
      <c r="C47" s="4"/>
      <c r="D47" s="5"/>
      <c r="E47" s="6"/>
      <c r="F47" s="6"/>
      <c r="H47" s="31"/>
      <c r="I47" s="4"/>
      <c r="J47" s="5"/>
      <c r="K47" s="6"/>
      <c r="L47" s="6"/>
    </row>
    <row r="48" spans="2:12" x14ac:dyDescent="0.45">
      <c r="B48" s="31"/>
      <c r="C48" s="4"/>
      <c r="D48" s="5"/>
      <c r="E48" s="6"/>
      <c r="F48" s="6"/>
      <c r="H48" s="31"/>
      <c r="I48" s="4"/>
      <c r="J48" s="5"/>
      <c r="K48" s="6"/>
      <c r="L48" s="6"/>
    </row>
    <row r="49" spans="2:12" x14ac:dyDescent="0.45">
      <c r="B49" s="31"/>
      <c r="C49" s="4" t="s">
        <v>6</v>
      </c>
      <c r="D49" s="8"/>
      <c r="E49" s="6">
        <f>SUBTOTAL(9,Tableau4461626455461702327[Revenus])</f>
        <v>0</v>
      </c>
      <c r="F49" s="6">
        <f>SUBTOTAL(9,Tableau4461626455461702327[Dépenses])</f>
        <v>0</v>
      </c>
      <c r="H49" s="31"/>
      <c r="I49" s="4" t="s">
        <v>6</v>
      </c>
      <c r="J49" s="8"/>
      <c r="K49" s="6">
        <f>SUBTOTAL(9,Tableau4461626455461702428[Revenus])</f>
        <v>0</v>
      </c>
      <c r="L49" s="6">
        <f>SUBTOTAL(9,Tableau4461626455461702428[Dépenses])</f>
        <v>0</v>
      </c>
    </row>
    <row r="51" spans="2:12" x14ac:dyDescent="0.45">
      <c r="E51" s="16"/>
      <c r="K51" s="16"/>
    </row>
    <row r="52" spans="2:12" ht="18" customHeight="1" x14ac:dyDescent="0.45">
      <c r="B52" s="32" t="s">
        <v>7</v>
      </c>
      <c r="C52" s="3" t="s">
        <v>2</v>
      </c>
      <c r="D52" s="3" t="s">
        <v>3</v>
      </c>
      <c r="E52" s="3" t="s">
        <v>4</v>
      </c>
      <c r="F52" s="3" t="s">
        <v>5</v>
      </c>
      <c r="H52" s="33"/>
      <c r="I52" s="23"/>
      <c r="J52" s="23"/>
      <c r="K52" s="23"/>
      <c r="L52" s="23"/>
    </row>
    <row r="53" spans="2:12" x14ac:dyDescent="0.45">
      <c r="B53" s="31"/>
      <c r="C53" s="4"/>
      <c r="D53" s="5"/>
      <c r="E53" s="7"/>
      <c r="F53" s="7"/>
      <c r="H53" s="31"/>
      <c r="I53" s="20"/>
      <c r="J53" s="24"/>
      <c r="K53" s="25"/>
      <c r="L53" s="25"/>
    </row>
    <row r="54" spans="2:12" x14ac:dyDescent="0.45">
      <c r="B54" s="31"/>
      <c r="C54" s="4"/>
      <c r="D54" s="5"/>
      <c r="E54" s="6"/>
      <c r="F54" s="6"/>
      <c r="H54" s="31"/>
      <c r="I54" s="20"/>
      <c r="J54" s="24"/>
      <c r="K54" s="22"/>
      <c r="L54" s="22"/>
    </row>
    <row r="55" spans="2:12" x14ac:dyDescent="0.45">
      <c r="B55" s="31"/>
      <c r="C55" s="4"/>
      <c r="D55" s="5"/>
      <c r="E55" s="6"/>
      <c r="F55" s="6"/>
      <c r="H55" s="31"/>
      <c r="I55" s="20"/>
      <c r="J55" s="24"/>
      <c r="K55" s="22"/>
      <c r="L55" s="22"/>
    </row>
    <row r="56" spans="2:12" x14ac:dyDescent="0.45">
      <c r="B56" s="31"/>
      <c r="C56" s="4"/>
      <c r="D56" s="5"/>
      <c r="E56" s="6"/>
      <c r="F56" s="6"/>
      <c r="H56" s="31"/>
      <c r="I56" s="20"/>
      <c r="J56" s="24"/>
      <c r="K56" s="22"/>
      <c r="L56" s="22"/>
    </row>
    <row r="57" spans="2:12" x14ac:dyDescent="0.45">
      <c r="B57" s="31"/>
      <c r="C57" s="4"/>
      <c r="D57" s="5"/>
      <c r="E57" s="6"/>
      <c r="F57" s="6"/>
      <c r="H57" s="31"/>
      <c r="I57" s="20"/>
      <c r="J57" s="24"/>
      <c r="K57" s="22"/>
      <c r="L57" s="22"/>
    </row>
    <row r="58" spans="2:12" x14ac:dyDescent="0.45">
      <c r="B58" s="31"/>
      <c r="C58" s="4"/>
      <c r="D58" s="5"/>
      <c r="E58" s="6"/>
      <c r="F58" s="6"/>
      <c r="H58" s="31"/>
      <c r="I58" s="20"/>
      <c r="J58" s="24"/>
      <c r="K58" s="22"/>
      <c r="L58" s="22"/>
    </row>
    <row r="59" spans="2:12" x14ac:dyDescent="0.45">
      <c r="B59" s="31"/>
      <c r="C59" s="4"/>
      <c r="D59" s="5"/>
      <c r="E59" s="6"/>
      <c r="F59" s="6"/>
      <c r="H59" s="31"/>
      <c r="I59" s="20"/>
      <c r="J59" s="24"/>
      <c r="K59" s="22"/>
      <c r="L59" s="22"/>
    </row>
    <row r="60" spans="2:12" x14ac:dyDescent="0.45">
      <c r="B60" s="31"/>
      <c r="C60" s="4"/>
      <c r="D60" s="5"/>
      <c r="E60" s="6"/>
      <c r="F60" s="6"/>
      <c r="H60" s="31"/>
      <c r="I60" s="20"/>
      <c r="J60" s="24"/>
      <c r="K60" s="22"/>
      <c r="L60" s="22"/>
    </row>
    <row r="61" spans="2:12" x14ac:dyDescent="0.45">
      <c r="B61" s="31"/>
      <c r="C61" s="4" t="s">
        <v>6</v>
      </c>
      <c r="D61" s="8"/>
      <c r="E61" s="6">
        <f>SUBTOTAL(9,Tableau4461626455461702529[Revenus])</f>
        <v>0</v>
      </c>
      <c r="F61" s="6">
        <f>SUBTOTAL(9,Tableau4461626455461702529[Dépenses])</f>
        <v>0</v>
      </c>
      <c r="H61" s="31"/>
      <c r="I61" s="20"/>
      <c r="J61" s="21"/>
      <c r="K61" s="22"/>
      <c r="L61" s="22"/>
    </row>
    <row r="64" spans="2:12" ht="18" customHeight="1" x14ac:dyDescent="0.45">
      <c r="B64" s="33"/>
      <c r="C64" s="23"/>
      <c r="D64" s="23"/>
      <c r="E64" s="23"/>
      <c r="F64" s="23"/>
    </row>
    <row r="65" spans="2:6" x14ac:dyDescent="0.45">
      <c r="B65" s="31"/>
      <c r="C65" s="20"/>
      <c r="D65" s="24"/>
      <c r="E65" s="25"/>
      <c r="F65" s="25"/>
    </row>
    <row r="66" spans="2:6" x14ac:dyDescent="0.45">
      <c r="B66" s="31"/>
      <c r="C66" s="20"/>
      <c r="D66" s="24"/>
      <c r="E66" s="22"/>
      <c r="F66" s="22"/>
    </row>
    <row r="67" spans="2:6" x14ac:dyDescent="0.45">
      <c r="B67" s="31"/>
      <c r="C67" s="20"/>
      <c r="D67" s="24"/>
      <c r="E67" s="22"/>
      <c r="F67" s="22"/>
    </row>
    <row r="68" spans="2:6" x14ac:dyDescent="0.45">
      <c r="B68" s="31"/>
      <c r="C68" s="20"/>
      <c r="D68" s="24"/>
      <c r="E68" s="22"/>
      <c r="F68" s="22"/>
    </row>
    <row r="69" spans="2:6" x14ac:dyDescent="0.45">
      <c r="B69" s="31"/>
      <c r="C69" s="20"/>
      <c r="D69" s="24"/>
      <c r="E69" s="22"/>
      <c r="F69" s="22"/>
    </row>
    <row r="70" spans="2:6" x14ac:dyDescent="0.45">
      <c r="B70" s="31"/>
      <c r="C70" s="20"/>
      <c r="D70" s="24"/>
      <c r="E70" s="22"/>
      <c r="F70" s="22"/>
    </row>
    <row r="71" spans="2:6" x14ac:dyDescent="0.45">
      <c r="B71" s="31"/>
      <c r="C71" s="20"/>
      <c r="D71" s="24"/>
      <c r="E71" s="22"/>
      <c r="F71" s="22"/>
    </row>
    <row r="72" spans="2:6" x14ac:dyDescent="0.45">
      <c r="B72" s="31"/>
      <c r="C72" s="20"/>
      <c r="D72" s="24"/>
      <c r="E72" s="22"/>
      <c r="F72" s="22"/>
    </row>
    <row r="73" spans="2:6" x14ac:dyDescent="0.45">
      <c r="B73" s="31"/>
      <c r="C73" s="20"/>
      <c r="D73" s="21"/>
      <c r="E73" s="22"/>
      <c r="F73" s="22"/>
    </row>
  </sheetData>
  <mergeCells count="12">
    <mergeCell ref="B64:B73"/>
    <mergeCell ref="H52:H61"/>
    <mergeCell ref="B16:B25"/>
    <mergeCell ref="B28:B37"/>
    <mergeCell ref="H16:H25"/>
    <mergeCell ref="B52:B61"/>
    <mergeCell ref="C2:F2"/>
    <mergeCell ref="H28:H37"/>
    <mergeCell ref="B4:B13"/>
    <mergeCell ref="B40:B49"/>
    <mergeCell ref="H40:H49"/>
    <mergeCell ref="H4:H13"/>
  </mergeCells>
  <pageMargins left="0.7" right="0.7" top="0.75" bottom="0.75" header="0.3" footer="0.3"/>
  <pageSetup paperSize="9" orientation="portrait"/>
  <tableParts count="9">
    <tablePart r:id="rId1"/>
    <tablePart r:id="rId2"/>
    <tablePart r:id="rId3"/>
    <tablePart r:id="rId4"/>
    <tablePart r:id="rId5"/>
    <tablePart r:id="rId6"/>
    <tablePart r:id="rId7"/>
    <tablePart r:id="rId8"/>
    <tablePart r:id="rId9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73"/>
  <sheetViews>
    <sheetView zoomScale="66" workbookViewId="0">
      <selection activeCell="H40" sqref="H40:H49"/>
    </sheetView>
  </sheetViews>
  <sheetFormatPr baseColWidth="10" defaultColWidth="9.06640625" defaultRowHeight="14.25" x14ac:dyDescent="0.45"/>
  <cols>
    <col min="1" max="1" width="5.9296875" style="15" customWidth="1"/>
    <col min="2" max="2" width="9.06640625" style="15" customWidth="1"/>
    <col min="3" max="3" width="35.6640625" style="15" customWidth="1"/>
    <col min="4" max="4" width="20.53125" style="15" customWidth="1"/>
    <col min="5" max="5" width="20.59765625" style="15" customWidth="1"/>
    <col min="6" max="6" width="20.6640625" style="15" customWidth="1"/>
    <col min="7" max="8" width="9.06640625" style="15" customWidth="1"/>
    <col min="9" max="9" width="35.6640625" style="15" customWidth="1"/>
    <col min="10" max="11" width="20.59765625" style="15" customWidth="1"/>
    <col min="12" max="12" width="20.6640625" style="15" customWidth="1"/>
    <col min="13" max="23" width="9.06640625" style="15" customWidth="1"/>
    <col min="24" max="16384" width="9.06640625" style="15"/>
  </cols>
  <sheetData>
    <row r="1" spans="1:12" ht="28.15" customHeight="1" thickBot="1" x14ac:dyDescent="0.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33.4" customHeight="1" thickBot="1" x14ac:dyDescent="0.5">
      <c r="A2" s="1"/>
      <c r="B2" s="1"/>
      <c r="C2" s="30" t="s">
        <v>37</v>
      </c>
      <c r="D2" s="31"/>
      <c r="E2" s="31"/>
      <c r="F2" s="31"/>
      <c r="G2" s="1"/>
      <c r="H2" s="2"/>
      <c r="I2" s="19" t="s">
        <v>1</v>
      </c>
      <c r="J2" s="18"/>
      <c r="K2" s="17"/>
      <c r="L2" s="17"/>
    </row>
    <row r="3" spans="1:12" x14ac:dyDescent="0.4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 ht="18" customHeight="1" x14ac:dyDescent="0.45">
      <c r="A4" s="1"/>
      <c r="B4" s="32" t="s">
        <v>38</v>
      </c>
      <c r="C4" s="3" t="s">
        <v>2</v>
      </c>
      <c r="D4" s="3" t="s">
        <v>3</v>
      </c>
      <c r="E4" s="3" t="s">
        <v>4</v>
      </c>
      <c r="F4" s="3" t="s">
        <v>5</v>
      </c>
      <c r="G4" s="1"/>
      <c r="H4" s="32" t="s">
        <v>39</v>
      </c>
      <c r="I4" s="3" t="s">
        <v>2</v>
      </c>
      <c r="J4" s="3" t="s">
        <v>3</v>
      </c>
      <c r="K4" s="3" t="s">
        <v>4</v>
      </c>
      <c r="L4" s="3" t="s">
        <v>5</v>
      </c>
    </row>
    <row r="5" spans="1:12" x14ac:dyDescent="0.45">
      <c r="A5" s="1"/>
      <c r="B5" s="31"/>
      <c r="C5" s="4"/>
      <c r="D5" s="5"/>
      <c r="E5" s="6"/>
      <c r="F5" s="6"/>
      <c r="G5" s="1"/>
      <c r="H5" s="31"/>
      <c r="I5" s="4"/>
      <c r="J5" s="5"/>
      <c r="K5" s="7"/>
      <c r="L5" s="7"/>
    </row>
    <row r="6" spans="1:12" x14ac:dyDescent="0.45">
      <c r="A6" s="1"/>
      <c r="B6" s="31"/>
      <c r="C6" s="4"/>
      <c r="D6" s="5"/>
      <c r="E6" s="6"/>
      <c r="F6" s="6"/>
      <c r="G6" s="1"/>
      <c r="H6" s="31"/>
      <c r="I6" s="4"/>
      <c r="J6" s="5"/>
      <c r="K6" s="6"/>
      <c r="L6" s="6"/>
    </row>
    <row r="7" spans="1:12" x14ac:dyDescent="0.45">
      <c r="A7" s="1"/>
      <c r="B7" s="31"/>
      <c r="C7" s="4"/>
      <c r="D7" s="5"/>
      <c r="E7" s="6"/>
      <c r="F7" s="6"/>
      <c r="G7" s="1"/>
      <c r="H7" s="31"/>
      <c r="I7" s="4"/>
      <c r="J7" s="5"/>
      <c r="K7" s="6"/>
      <c r="L7" s="6"/>
    </row>
    <row r="8" spans="1:12" x14ac:dyDescent="0.45">
      <c r="A8" s="1"/>
      <c r="B8" s="31"/>
      <c r="C8" s="4"/>
      <c r="D8" s="5"/>
      <c r="E8" s="6"/>
      <c r="F8" s="6"/>
      <c r="G8" s="1"/>
      <c r="H8" s="31"/>
      <c r="I8" s="4"/>
      <c r="J8" s="5"/>
      <c r="K8" s="6"/>
      <c r="L8" s="6"/>
    </row>
    <row r="9" spans="1:12" x14ac:dyDescent="0.45">
      <c r="A9" s="1"/>
      <c r="B9" s="31"/>
      <c r="C9" s="4"/>
      <c r="D9" s="5"/>
      <c r="E9" s="6"/>
      <c r="F9" s="6"/>
      <c r="G9" s="1"/>
      <c r="H9" s="31"/>
      <c r="I9" s="4"/>
      <c r="J9" s="5"/>
      <c r="K9" s="6"/>
      <c r="L9" s="6"/>
    </row>
    <row r="10" spans="1:12" x14ac:dyDescent="0.45">
      <c r="A10" s="1"/>
      <c r="B10" s="31"/>
      <c r="C10" s="4"/>
      <c r="D10" s="5"/>
      <c r="E10" s="6"/>
      <c r="F10" s="6"/>
      <c r="G10" s="1"/>
      <c r="H10" s="31"/>
      <c r="I10" s="4"/>
      <c r="J10" s="5"/>
      <c r="K10" s="6"/>
      <c r="L10" s="6"/>
    </row>
    <row r="11" spans="1:12" x14ac:dyDescent="0.45">
      <c r="A11" s="1"/>
      <c r="B11" s="31"/>
      <c r="C11" s="4"/>
      <c r="D11" s="5"/>
      <c r="E11" s="6"/>
      <c r="F11" s="6"/>
      <c r="G11" s="1"/>
      <c r="H11" s="31"/>
      <c r="I11" s="4"/>
      <c r="J11" s="5"/>
      <c r="K11" s="6"/>
      <c r="L11" s="6"/>
    </row>
    <row r="12" spans="1:12" x14ac:dyDescent="0.45">
      <c r="A12" s="1"/>
      <c r="B12" s="31"/>
      <c r="C12" s="4"/>
      <c r="D12" s="5"/>
      <c r="E12" s="6"/>
      <c r="F12" s="6"/>
      <c r="G12" s="1"/>
      <c r="H12" s="31"/>
      <c r="I12" s="4"/>
      <c r="J12" s="5"/>
      <c r="K12" s="6"/>
      <c r="L12" s="6"/>
    </row>
    <row r="13" spans="1:12" x14ac:dyDescent="0.45">
      <c r="A13" s="1"/>
      <c r="B13" s="31"/>
      <c r="C13" s="4" t="s">
        <v>6</v>
      </c>
      <c r="D13" s="8"/>
      <c r="E13" s="6">
        <f>SUBTOTAL(9,Tableau41323425158672251[Revenus])</f>
        <v>0</v>
      </c>
      <c r="F13" s="6">
        <f>SUBTOTAL(9,Tableau41323425158672251[Dépenses])</f>
        <v>0</v>
      </c>
      <c r="G13" s="1"/>
      <c r="H13" s="31"/>
      <c r="I13" s="4" t="s">
        <v>6</v>
      </c>
      <c r="J13" s="8"/>
      <c r="K13" s="6">
        <f>SUBTOTAL(9,Tableau446162645546170143259[Revenus])</f>
        <v>0</v>
      </c>
      <c r="L13" s="6">
        <f>SUBTOTAL(9,Tableau446162645546170143259[Dépenses])</f>
        <v>0</v>
      </c>
    </row>
    <row r="14" spans="1:12" ht="14.65" customHeight="1" x14ac:dyDescent="0.45">
      <c r="A14" s="1"/>
      <c r="B14" s="10"/>
      <c r="C14" s="11"/>
      <c r="D14" s="11"/>
      <c r="E14" s="11"/>
      <c r="F14" s="11"/>
      <c r="G14" s="1"/>
      <c r="H14" s="1"/>
      <c r="I14" s="1"/>
      <c r="J14" s="1"/>
      <c r="K14" s="1"/>
      <c r="L14" s="1"/>
    </row>
    <row r="15" spans="1:12" x14ac:dyDescent="0.45">
      <c r="A15" s="1"/>
      <c r="B15" s="10"/>
      <c r="C15" s="12"/>
      <c r="D15" s="13"/>
      <c r="E15" s="9"/>
      <c r="F15" s="14"/>
      <c r="G15" s="1"/>
      <c r="H15" s="1"/>
      <c r="I15" s="1"/>
      <c r="J15" s="1"/>
      <c r="K15" s="1"/>
      <c r="L15" s="1"/>
    </row>
    <row r="16" spans="1:12" ht="18" customHeight="1" x14ac:dyDescent="0.45">
      <c r="A16" s="1"/>
      <c r="B16" s="32" t="s">
        <v>16</v>
      </c>
      <c r="C16" s="3" t="s">
        <v>2</v>
      </c>
      <c r="D16" s="3" t="s">
        <v>3</v>
      </c>
      <c r="E16" s="3" t="s">
        <v>4</v>
      </c>
      <c r="F16" s="3" t="s">
        <v>5</v>
      </c>
      <c r="G16" s="1"/>
      <c r="H16" s="32" t="s">
        <v>51</v>
      </c>
      <c r="I16" s="3" t="s">
        <v>2</v>
      </c>
      <c r="J16" s="3" t="s">
        <v>3</v>
      </c>
      <c r="K16" s="3" t="s">
        <v>4</v>
      </c>
      <c r="L16" s="3" t="s">
        <v>5</v>
      </c>
    </row>
    <row r="17" spans="1:12" x14ac:dyDescent="0.45">
      <c r="A17" s="1"/>
      <c r="B17" s="31"/>
      <c r="C17" s="4"/>
      <c r="D17" s="5"/>
      <c r="E17" s="7"/>
      <c r="F17" s="7"/>
      <c r="G17" s="1"/>
      <c r="H17" s="31"/>
      <c r="I17" s="4"/>
      <c r="J17" s="5"/>
      <c r="K17" s="7"/>
      <c r="L17" s="7"/>
    </row>
    <row r="18" spans="1:12" x14ac:dyDescent="0.45">
      <c r="A18" s="1"/>
      <c r="B18" s="31"/>
      <c r="C18" s="4"/>
      <c r="D18" s="5"/>
      <c r="E18" s="6"/>
      <c r="F18" s="6"/>
      <c r="G18" s="1"/>
      <c r="H18" s="31"/>
      <c r="I18" s="4"/>
      <c r="J18" s="5"/>
      <c r="K18" s="6"/>
      <c r="L18" s="6"/>
    </row>
    <row r="19" spans="1:12" x14ac:dyDescent="0.45">
      <c r="A19" s="1"/>
      <c r="B19" s="31"/>
      <c r="C19" s="4"/>
      <c r="D19" s="5"/>
      <c r="E19" s="6"/>
      <c r="F19" s="6"/>
      <c r="G19" s="1"/>
      <c r="H19" s="31"/>
      <c r="I19" s="4"/>
      <c r="J19" s="5"/>
      <c r="K19" s="6"/>
      <c r="L19" s="6"/>
    </row>
    <row r="20" spans="1:12" x14ac:dyDescent="0.45">
      <c r="A20" s="1"/>
      <c r="B20" s="31"/>
      <c r="C20" s="4"/>
      <c r="D20" s="5"/>
      <c r="E20" s="6"/>
      <c r="F20" s="6"/>
      <c r="G20" s="1"/>
      <c r="H20" s="31"/>
      <c r="I20" s="4"/>
      <c r="J20" s="5"/>
      <c r="K20" s="6"/>
      <c r="L20" s="6"/>
    </row>
    <row r="21" spans="1:12" x14ac:dyDescent="0.45">
      <c r="A21" s="1"/>
      <c r="B21" s="31"/>
      <c r="C21" s="4"/>
      <c r="D21" s="5"/>
      <c r="E21" s="6"/>
      <c r="F21" s="6"/>
      <c r="G21" s="1"/>
      <c r="H21" s="31"/>
      <c r="I21" s="4"/>
      <c r="J21" s="5"/>
      <c r="K21" s="6"/>
      <c r="L21" s="6"/>
    </row>
    <row r="22" spans="1:12" x14ac:dyDescent="0.45">
      <c r="A22" s="1"/>
      <c r="B22" s="31"/>
      <c r="C22" s="4"/>
      <c r="D22" s="5"/>
      <c r="E22" s="6"/>
      <c r="F22" s="6"/>
      <c r="G22" s="1"/>
      <c r="H22" s="31"/>
      <c r="I22" s="4"/>
      <c r="J22" s="5"/>
      <c r="K22" s="6"/>
      <c r="L22" s="6"/>
    </row>
    <row r="23" spans="1:12" x14ac:dyDescent="0.45">
      <c r="A23" s="1"/>
      <c r="B23" s="31"/>
      <c r="C23" s="4"/>
      <c r="D23" s="5"/>
      <c r="E23" s="6"/>
      <c r="F23" s="6"/>
      <c r="G23" s="1"/>
      <c r="H23" s="31"/>
      <c r="I23" s="4"/>
      <c r="J23" s="5"/>
      <c r="K23" s="6"/>
      <c r="L23" s="6"/>
    </row>
    <row r="24" spans="1:12" x14ac:dyDescent="0.45">
      <c r="A24" s="1"/>
      <c r="B24" s="31"/>
      <c r="C24" s="4"/>
      <c r="D24" s="5"/>
      <c r="E24" s="6"/>
      <c r="F24" s="6"/>
      <c r="G24" s="1"/>
      <c r="H24" s="31"/>
      <c r="I24" s="4"/>
      <c r="J24" s="5"/>
      <c r="K24" s="6"/>
      <c r="L24" s="6"/>
    </row>
    <row r="25" spans="1:12" x14ac:dyDescent="0.45">
      <c r="A25" s="1"/>
      <c r="B25" s="31"/>
      <c r="C25" s="4" t="s">
        <v>6</v>
      </c>
      <c r="D25" s="8"/>
      <c r="E25" s="6">
        <f>SUBTOTAL(9,Tableau4461626455461702852[Revenus])</f>
        <v>0</v>
      </c>
      <c r="F25" s="6">
        <f>SUBTOTAL(9,Tableau4461626455461702852[Dépenses])</f>
        <v>0</v>
      </c>
      <c r="G25" s="1"/>
      <c r="H25" s="31"/>
      <c r="I25" s="4" t="s">
        <v>6</v>
      </c>
      <c r="J25" s="8"/>
      <c r="K25" s="6">
        <f>SUBTOTAL(9,Tableau446162645546170202453[Revenus])</f>
        <v>0</v>
      </c>
      <c r="L25" s="6">
        <f>SUBTOTAL(9,Tableau446162645546170202453[Dépenses])</f>
        <v>0</v>
      </c>
    </row>
    <row r="28" spans="1:12" ht="18" customHeight="1" x14ac:dyDescent="0.45">
      <c r="B28" s="32" t="s">
        <v>40</v>
      </c>
      <c r="C28" s="3" t="s">
        <v>2</v>
      </c>
      <c r="D28" s="3" t="s">
        <v>3</v>
      </c>
      <c r="E28" s="3" t="s">
        <v>4</v>
      </c>
      <c r="F28" s="3" t="s">
        <v>5</v>
      </c>
      <c r="H28" s="32" t="s">
        <v>7</v>
      </c>
      <c r="I28" s="3" t="s">
        <v>2</v>
      </c>
      <c r="J28" s="3" t="s">
        <v>3</v>
      </c>
      <c r="K28" s="3" t="s">
        <v>4</v>
      </c>
      <c r="L28" s="3" t="s">
        <v>5</v>
      </c>
    </row>
    <row r="29" spans="1:12" x14ac:dyDescent="0.45">
      <c r="B29" s="31"/>
      <c r="C29" s="4"/>
      <c r="D29" s="5"/>
      <c r="E29" s="7"/>
      <c r="F29" s="7"/>
      <c r="H29" s="31"/>
      <c r="I29" s="4"/>
      <c r="J29" s="5"/>
      <c r="K29" s="7"/>
      <c r="L29" s="7"/>
    </row>
    <row r="30" spans="1:12" x14ac:dyDescent="0.45">
      <c r="B30" s="31"/>
      <c r="C30" s="4"/>
      <c r="D30" s="5"/>
      <c r="E30" s="6"/>
      <c r="F30" s="6"/>
      <c r="H30" s="31"/>
      <c r="I30" s="4"/>
      <c r="J30" s="5"/>
      <c r="K30" s="6"/>
      <c r="L30" s="6"/>
    </row>
    <row r="31" spans="1:12" x14ac:dyDescent="0.45">
      <c r="B31" s="31"/>
      <c r="C31" s="4"/>
      <c r="D31" s="5"/>
      <c r="E31" s="6"/>
      <c r="F31" s="6"/>
      <c r="H31" s="31"/>
      <c r="I31" s="4"/>
      <c r="J31" s="5"/>
      <c r="K31" s="6"/>
      <c r="L31" s="6"/>
    </row>
    <row r="32" spans="1:12" x14ac:dyDescent="0.45">
      <c r="B32" s="31"/>
      <c r="C32" s="4"/>
      <c r="D32" s="5"/>
      <c r="E32" s="6"/>
      <c r="F32" s="6"/>
      <c r="H32" s="31"/>
      <c r="I32" s="4"/>
      <c r="J32" s="5"/>
      <c r="K32" s="6"/>
      <c r="L32" s="6"/>
    </row>
    <row r="33" spans="2:12" x14ac:dyDescent="0.45">
      <c r="B33" s="31"/>
      <c r="C33" s="4"/>
      <c r="D33" s="5"/>
      <c r="E33" s="6"/>
      <c r="F33" s="6"/>
      <c r="H33" s="31"/>
      <c r="I33" s="4"/>
      <c r="J33" s="5"/>
      <c r="K33" s="6"/>
      <c r="L33" s="6"/>
    </row>
    <row r="34" spans="2:12" x14ac:dyDescent="0.45">
      <c r="B34" s="31"/>
      <c r="C34" s="4"/>
      <c r="D34" s="5"/>
      <c r="E34" s="6"/>
      <c r="F34" s="6"/>
      <c r="H34" s="31"/>
      <c r="I34" s="4"/>
      <c r="J34" s="5"/>
      <c r="K34" s="6"/>
      <c r="L34" s="6"/>
    </row>
    <row r="35" spans="2:12" x14ac:dyDescent="0.45">
      <c r="B35" s="31"/>
      <c r="C35" s="4"/>
      <c r="D35" s="5"/>
      <c r="E35" s="6"/>
      <c r="F35" s="6"/>
      <c r="H35" s="31"/>
      <c r="I35" s="4"/>
      <c r="J35" s="5"/>
      <c r="K35" s="6"/>
      <c r="L35" s="6"/>
    </row>
    <row r="36" spans="2:12" x14ac:dyDescent="0.45">
      <c r="B36" s="31"/>
      <c r="C36" s="4"/>
      <c r="D36" s="5"/>
      <c r="E36" s="6"/>
      <c r="F36" s="6"/>
      <c r="H36" s="31"/>
      <c r="I36" s="4"/>
      <c r="J36" s="5"/>
      <c r="K36" s="6"/>
      <c r="L36" s="6"/>
    </row>
    <row r="37" spans="2:12" x14ac:dyDescent="0.45">
      <c r="B37" s="31"/>
      <c r="C37" s="4" t="s">
        <v>6</v>
      </c>
      <c r="D37" s="8"/>
      <c r="E37" s="6">
        <f>SUBTOTAL(9,Tableau446162645546170212554[Revenus])</f>
        <v>0</v>
      </c>
      <c r="F37" s="6">
        <f>SUBTOTAL(9,Tableau446162645546170212554[Dépenses])</f>
        <v>0</v>
      </c>
      <c r="H37" s="31"/>
      <c r="I37" s="4" t="s">
        <v>6</v>
      </c>
      <c r="J37" s="8"/>
      <c r="K37" s="6">
        <f>SUBTOTAL(9,Tableau446162645546170222655[Revenus])</f>
        <v>0</v>
      </c>
      <c r="L37" s="6">
        <f>SUBTOTAL(9,Tableau446162645546170222655[Dépenses])</f>
        <v>0</v>
      </c>
    </row>
    <row r="39" spans="2:12" x14ac:dyDescent="0.45">
      <c r="E39" s="16"/>
    </row>
    <row r="40" spans="2:12" ht="18" customHeight="1" x14ac:dyDescent="0.45">
      <c r="B40" s="33"/>
      <c r="C40" s="23"/>
      <c r="D40" s="23"/>
      <c r="E40" s="23"/>
      <c r="F40" s="23"/>
      <c r="H40" s="33"/>
      <c r="I40" s="23"/>
      <c r="J40" s="23"/>
      <c r="K40" s="23"/>
      <c r="L40" s="23"/>
    </row>
    <row r="41" spans="2:12" x14ac:dyDescent="0.45">
      <c r="B41" s="31"/>
      <c r="C41" s="20"/>
      <c r="D41" s="24"/>
      <c r="E41" s="25"/>
      <c r="F41" s="25"/>
      <c r="H41" s="31"/>
      <c r="I41" s="20"/>
      <c r="J41" s="24"/>
      <c r="K41" s="25"/>
      <c r="L41" s="25"/>
    </row>
    <row r="42" spans="2:12" x14ac:dyDescent="0.45">
      <c r="B42" s="31"/>
      <c r="C42" s="20"/>
      <c r="D42" s="24"/>
      <c r="E42" s="22"/>
      <c r="F42" s="22"/>
      <c r="H42" s="31"/>
      <c r="I42" s="20"/>
      <c r="J42" s="24"/>
      <c r="K42" s="22"/>
      <c r="L42" s="22"/>
    </row>
    <row r="43" spans="2:12" x14ac:dyDescent="0.45">
      <c r="B43" s="31"/>
      <c r="C43" s="20"/>
      <c r="D43" s="24"/>
      <c r="E43" s="22"/>
      <c r="F43" s="22"/>
      <c r="H43" s="31"/>
      <c r="I43" s="20"/>
      <c r="J43" s="24"/>
      <c r="K43" s="22"/>
      <c r="L43" s="22"/>
    </row>
    <row r="44" spans="2:12" x14ac:dyDescent="0.45">
      <c r="B44" s="31"/>
      <c r="C44" s="20"/>
      <c r="D44" s="24"/>
      <c r="E44" s="22"/>
      <c r="F44" s="22"/>
      <c r="H44" s="31"/>
      <c r="I44" s="20"/>
      <c r="J44" s="24"/>
      <c r="K44" s="22"/>
      <c r="L44" s="22"/>
    </row>
    <row r="45" spans="2:12" x14ac:dyDescent="0.45">
      <c r="B45" s="31"/>
      <c r="C45" s="20"/>
      <c r="D45" s="24"/>
      <c r="E45" s="22"/>
      <c r="F45" s="22"/>
      <c r="H45" s="31"/>
      <c r="I45" s="20"/>
      <c r="J45" s="24"/>
      <c r="K45" s="22"/>
      <c r="L45" s="22"/>
    </row>
    <row r="46" spans="2:12" x14ac:dyDescent="0.45">
      <c r="B46" s="31"/>
      <c r="C46" s="20"/>
      <c r="D46" s="24"/>
      <c r="E46" s="22"/>
      <c r="F46" s="22"/>
      <c r="H46" s="31"/>
      <c r="I46" s="20"/>
      <c r="J46" s="24"/>
      <c r="K46" s="22"/>
      <c r="L46" s="22"/>
    </row>
    <row r="47" spans="2:12" x14ac:dyDescent="0.45">
      <c r="B47" s="31"/>
      <c r="C47" s="20"/>
      <c r="D47" s="24"/>
      <c r="E47" s="22"/>
      <c r="F47" s="22"/>
      <c r="H47" s="31"/>
      <c r="I47" s="20"/>
      <c r="J47" s="24"/>
      <c r="K47" s="22"/>
      <c r="L47" s="22"/>
    </row>
    <row r="48" spans="2:12" x14ac:dyDescent="0.45">
      <c r="B48" s="31"/>
      <c r="C48" s="20"/>
      <c r="D48" s="24"/>
      <c r="E48" s="22"/>
      <c r="F48" s="22"/>
      <c r="H48" s="31"/>
      <c r="I48" s="20"/>
      <c r="J48" s="24"/>
      <c r="K48" s="22"/>
      <c r="L48" s="22"/>
    </row>
    <row r="49" spans="2:12" x14ac:dyDescent="0.45">
      <c r="B49" s="31"/>
      <c r="C49" s="20"/>
      <c r="D49" s="21"/>
      <c r="E49" s="22"/>
      <c r="F49" s="22"/>
      <c r="H49" s="31"/>
      <c r="I49" s="20"/>
      <c r="J49" s="21"/>
      <c r="K49" s="22"/>
      <c r="L49" s="22"/>
    </row>
    <row r="51" spans="2:12" x14ac:dyDescent="0.45">
      <c r="E51" s="16"/>
      <c r="K51" s="16"/>
    </row>
    <row r="52" spans="2:12" ht="18" customHeight="1" x14ac:dyDescent="0.45">
      <c r="B52" s="33"/>
      <c r="C52" s="23"/>
      <c r="D52" s="23"/>
      <c r="E52" s="23"/>
      <c r="F52" s="23"/>
      <c r="H52" s="33"/>
      <c r="I52" s="23"/>
      <c r="J52" s="23"/>
      <c r="K52" s="23"/>
      <c r="L52" s="23"/>
    </row>
    <row r="53" spans="2:12" x14ac:dyDescent="0.45">
      <c r="B53" s="31"/>
      <c r="C53" s="20"/>
      <c r="D53" s="24"/>
      <c r="E53" s="25"/>
      <c r="F53" s="25"/>
      <c r="H53" s="31"/>
      <c r="I53" s="20"/>
      <c r="J53" s="24"/>
      <c r="K53" s="25"/>
      <c r="L53" s="25"/>
    </row>
    <row r="54" spans="2:12" x14ac:dyDescent="0.45">
      <c r="B54" s="31"/>
      <c r="C54" s="20"/>
      <c r="D54" s="24"/>
      <c r="E54" s="22"/>
      <c r="F54" s="22"/>
      <c r="H54" s="31"/>
      <c r="I54" s="20"/>
      <c r="J54" s="24"/>
      <c r="K54" s="22"/>
      <c r="L54" s="22"/>
    </row>
    <row r="55" spans="2:12" x14ac:dyDescent="0.45">
      <c r="B55" s="31"/>
      <c r="C55" s="20"/>
      <c r="D55" s="24"/>
      <c r="E55" s="22"/>
      <c r="F55" s="22"/>
      <c r="H55" s="31"/>
      <c r="I55" s="20"/>
      <c r="J55" s="24"/>
      <c r="K55" s="22"/>
      <c r="L55" s="22"/>
    </row>
    <row r="56" spans="2:12" x14ac:dyDescent="0.45">
      <c r="B56" s="31"/>
      <c r="C56" s="20"/>
      <c r="D56" s="24"/>
      <c r="E56" s="22"/>
      <c r="F56" s="22"/>
      <c r="H56" s="31"/>
      <c r="I56" s="20"/>
      <c r="J56" s="24"/>
      <c r="K56" s="22"/>
      <c r="L56" s="22"/>
    </row>
    <row r="57" spans="2:12" x14ac:dyDescent="0.45">
      <c r="B57" s="31"/>
      <c r="C57" s="20"/>
      <c r="D57" s="24"/>
      <c r="E57" s="22"/>
      <c r="F57" s="22"/>
      <c r="H57" s="31"/>
      <c r="I57" s="20"/>
      <c r="J57" s="24"/>
      <c r="K57" s="22"/>
      <c r="L57" s="22"/>
    </row>
    <row r="58" spans="2:12" x14ac:dyDescent="0.45">
      <c r="B58" s="31"/>
      <c r="C58" s="20"/>
      <c r="D58" s="24"/>
      <c r="E58" s="22"/>
      <c r="F58" s="22"/>
      <c r="H58" s="31"/>
      <c r="I58" s="20"/>
      <c r="J58" s="24"/>
      <c r="K58" s="22"/>
      <c r="L58" s="22"/>
    </row>
    <row r="59" spans="2:12" x14ac:dyDescent="0.45">
      <c r="B59" s="31"/>
      <c r="C59" s="20"/>
      <c r="D59" s="24"/>
      <c r="E59" s="22"/>
      <c r="F59" s="22"/>
      <c r="H59" s="31"/>
      <c r="I59" s="20"/>
      <c r="J59" s="24"/>
      <c r="K59" s="22"/>
      <c r="L59" s="22"/>
    </row>
    <row r="60" spans="2:12" x14ac:dyDescent="0.45">
      <c r="B60" s="31"/>
      <c r="C60" s="20"/>
      <c r="D60" s="24"/>
      <c r="E60" s="22"/>
      <c r="F60" s="22"/>
      <c r="H60" s="31"/>
      <c r="I60" s="20"/>
      <c r="J60" s="24"/>
      <c r="K60" s="22"/>
      <c r="L60" s="22"/>
    </row>
    <row r="61" spans="2:12" x14ac:dyDescent="0.45">
      <c r="B61" s="31"/>
      <c r="C61" s="20"/>
      <c r="D61" s="21"/>
      <c r="E61" s="22"/>
      <c r="F61" s="22"/>
      <c r="H61" s="31"/>
      <c r="I61" s="20"/>
      <c r="J61" s="21"/>
      <c r="K61" s="22"/>
      <c r="L61" s="22"/>
    </row>
    <row r="64" spans="2:12" ht="18" customHeight="1" x14ac:dyDescent="0.45">
      <c r="B64" s="33"/>
      <c r="C64" s="23"/>
      <c r="D64" s="23"/>
      <c r="E64" s="23"/>
      <c r="F64" s="23"/>
    </row>
    <row r="65" spans="2:6" x14ac:dyDescent="0.45">
      <c r="B65" s="31"/>
      <c r="C65" s="20"/>
      <c r="D65" s="24"/>
      <c r="E65" s="25"/>
      <c r="F65" s="25"/>
    </row>
    <row r="66" spans="2:6" x14ac:dyDescent="0.45">
      <c r="B66" s="31"/>
      <c r="C66" s="20"/>
      <c r="D66" s="24"/>
      <c r="E66" s="22"/>
      <c r="F66" s="22"/>
    </row>
    <row r="67" spans="2:6" x14ac:dyDescent="0.45">
      <c r="B67" s="31"/>
      <c r="C67" s="20"/>
      <c r="D67" s="24"/>
      <c r="E67" s="22"/>
      <c r="F67" s="22"/>
    </row>
    <row r="68" spans="2:6" x14ac:dyDescent="0.45">
      <c r="B68" s="31"/>
      <c r="C68" s="20"/>
      <c r="D68" s="24"/>
      <c r="E68" s="22"/>
      <c r="F68" s="22"/>
    </row>
    <row r="69" spans="2:6" x14ac:dyDescent="0.45">
      <c r="B69" s="31"/>
      <c r="C69" s="20"/>
      <c r="D69" s="24"/>
      <c r="E69" s="22"/>
      <c r="F69" s="22"/>
    </row>
    <row r="70" spans="2:6" x14ac:dyDescent="0.45">
      <c r="B70" s="31"/>
      <c r="C70" s="20"/>
      <c r="D70" s="24"/>
      <c r="E70" s="22"/>
      <c r="F70" s="22"/>
    </row>
    <row r="71" spans="2:6" x14ac:dyDescent="0.45">
      <c r="B71" s="31"/>
      <c r="C71" s="20"/>
      <c r="D71" s="24"/>
      <c r="E71" s="22"/>
      <c r="F71" s="22"/>
    </row>
    <row r="72" spans="2:6" x14ac:dyDescent="0.45">
      <c r="B72" s="31"/>
      <c r="C72" s="20"/>
      <c r="D72" s="24"/>
      <c r="E72" s="22"/>
      <c r="F72" s="22"/>
    </row>
    <row r="73" spans="2:6" x14ac:dyDescent="0.45">
      <c r="B73" s="31"/>
      <c r="C73" s="20"/>
      <c r="D73" s="21"/>
      <c r="E73" s="22"/>
      <c r="F73" s="22"/>
    </row>
  </sheetData>
  <mergeCells count="12">
    <mergeCell ref="B64:B73"/>
    <mergeCell ref="H52:H61"/>
    <mergeCell ref="B16:B25"/>
    <mergeCell ref="B28:B37"/>
    <mergeCell ref="H16:H25"/>
    <mergeCell ref="B52:B61"/>
    <mergeCell ref="C2:F2"/>
    <mergeCell ref="H28:H37"/>
    <mergeCell ref="B4:B13"/>
    <mergeCell ref="B40:B49"/>
    <mergeCell ref="H40:H49"/>
    <mergeCell ref="H4:H13"/>
  </mergeCells>
  <pageMargins left="0.7" right="0.7" top="0.75" bottom="0.75" header="0.3" footer="0.3"/>
  <pageSetup paperSize="9" orientation="portrait"/>
  <tableParts count="6">
    <tablePart r:id="rId1"/>
    <tablePart r:id="rId2"/>
    <tablePart r:id="rId3"/>
    <tablePart r:id="rId4"/>
    <tablePart r:id="rId5"/>
    <tablePart r:id="rId6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73"/>
  <sheetViews>
    <sheetView zoomScale="66" workbookViewId="0">
      <selection activeCell="F5" sqref="C5:F5"/>
    </sheetView>
  </sheetViews>
  <sheetFormatPr baseColWidth="10" defaultColWidth="9.06640625" defaultRowHeight="14.25" x14ac:dyDescent="0.45"/>
  <cols>
    <col min="1" max="1" width="5.9296875" style="15" customWidth="1"/>
    <col min="2" max="2" width="9.06640625" style="15" customWidth="1"/>
    <col min="3" max="3" width="35.6640625" style="15" customWidth="1"/>
    <col min="4" max="4" width="20.53125" style="15" customWidth="1"/>
    <col min="5" max="5" width="20.59765625" style="15" customWidth="1"/>
    <col min="6" max="6" width="20.6640625" style="15" customWidth="1"/>
    <col min="7" max="8" width="9.06640625" style="15" customWidth="1"/>
    <col min="9" max="9" width="35.6640625" style="15" customWidth="1"/>
    <col min="10" max="11" width="20.59765625" style="15" customWidth="1"/>
    <col min="12" max="12" width="20.6640625" style="15" customWidth="1"/>
    <col min="13" max="23" width="9.06640625" style="15" customWidth="1"/>
    <col min="24" max="16384" width="9.06640625" style="15"/>
  </cols>
  <sheetData>
    <row r="1" spans="1:12" ht="28.15" customHeight="1" thickBot="1" x14ac:dyDescent="0.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33.4" customHeight="1" thickBot="1" x14ac:dyDescent="0.5">
      <c r="A2" s="1"/>
      <c r="B2" s="1"/>
      <c r="C2" s="30" t="s">
        <v>41</v>
      </c>
      <c r="D2" s="31"/>
      <c r="E2" s="31"/>
      <c r="F2" s="31"/>
      <c r="G2" s="1"/>
      <c r="H2" s="2"/>
      <c r="I2" s="19" t="s">
        <v>1</v>
      </c>
      <c r="J2" s="18"/>
      <c r="K2" s="17"/>
      <c r="L2" s="17"/>
    </row>
    <row r="3" spans="1:12" x14ac:dyDescent="0.4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 ht="18" customHeight="1" x14ac:dyDescent="0.45">
      <c r="A4" s="1"/>
      <c r="B4" s="32" t="s">
        <v>42</v>
      </c>
      <c r="C4" s="3" t="s">
        <v>2</v>
      </c>
      <c r="D4" s="3" t="s">
        <v>3</v>
      </c>
      <c r="E4" s="3" t="s">
        <v>4</v>
      </c>
      <c r="F4" s="3" t="s">
        <v>5</v>
      </c>
      <c r="G4" s="1"/>
      <c r="H4" s="32" t="s">
        <v>43</v>
      </c>
      <c r="I4" s="3" t="s">
        <v>2</v>
      </c>
      <c r="J4" s="3" t="s">
        <v>3</v>
      </c>
      <c r="K4" s="3" t="s">
        <v>4</v>
      </c>
      <c r="L4" s="3" t="s">
        <v>5</v>
      </c>
    </row>
    <row r="5" spans="1:12" x14ac:dyDescent="0.45">
      <c r="A5" s="1"/>
      <c r="B5" s="31"/>
      <c r="C5" s="4"/>
      <c r="D5" s="5"/>
      <c r="E5" s="6"/>
      <c r="F5" s="6"/>
      <c r="G5" s="1"/>
      <c r="H5" s="31"/>
      <c r="I5" s="4"/>
      <c r="J5" s="5"/>
      <c r="K5" s="7"/>
      <c r="L5" s="7"/>
    </row>
    <row r="6" spans="1:12" x14ac:dyDescent="0.45">
      <c r="A6" s="1"/>
      <c r="B6" s="31"/>
      <c r="C6" s="4"/>
      <c r="D6" s="5"/>
      <c r="E6" s="6"/>
      <c r="F6" s="6"/>
      <c r="G6" s="1"/>
      <c r="H6" s="31"/>
      <c r="I6" s="4"/>
      <c r="J6" s="5"/>
      <c r="K6" s="6"/>
      <c r="L6" s="6"/>
    </row>
    <row r="7" spans="1:12" x14ac:dyDescent="0.45">
      <c r="A7" s="1"/>
      <c r="B7" s="31"/>
      <c r="C7" s="4"/>
      <c r="D7" s="5"/>
      <c r="E7" s="6"/>
      <c r="F7" s="6"/>
      <c r="G7" s="1"/>
      <c r="H7" s="31"/>
      <c r="I7" s="4"/>
      <c r="J7" s="5"/>
      <c r="K7" s="6"/>
      <c r="L7" s="6"/>
    </row>
    <row r="8" spans="1:12" x14ac:dyDescent="0.45">
      <c r="A8" s="1"/>
      <c r="B8" s="31"/>
      <c r="C8" s="4"/>
      <c r="D8" s="5"/>
      <c r="E8" s="6"/>
      <c r="F8" s="6"/>
      <c r="G8" s="1"/>
      <c r="H8" s="31"/>
      <c r="I8" s="4"/>
      <c r="J8" s="5"/>
      <c r="K8" s="6"/>
      <c r="L8" s="6"/>
    </row>
    <row r="9" spans="1:12" x14ac:dyDescent="0.45">
      <c r="A9" s="1"/>
      <c r="B9" s="31"/>
      <c r="C9" s="4"/>
      <c r="D9" s="5"/>
      <c r="E9" s="6"/>
      <c r="F9" s="6"/>
      <c r="G9" s="1"/>
      <c r="H9" s="31"/>
      <c r="I9" s="4"/>
      <c r="J9" s="5"/>
      <c r="K9" s="6"/>
      <c r="L9" s="6"/>
    </row>
    <row r="10" spans="1:12" x14ac:dyDescent="0.45">
      <c r="A10" s="1"/>
      <c r="B10" s="31"/>
      <c r="C10" s="4"/>
      <c r="D10" s="5"/>
      <c r="E10" s="6"/>
      <c r="F10" s="6"/>
      <c r="G10" s="1"/>
      <c r="H10" s="31"/>
      <c r="I10" s="4"/>
      <c r="J10" s="5"/>
      <c r="K10" s="6"/>
      <c r="L10" s="6"/>
    </row>
    <row r="11" spans="1:12" x14ac:dyDescent="0.45">
      <c r="A11" s="1"/>
      <c r="B11" s="31"/>
      <c r="C11" s="4"/>
      <c r="D11" s="5"/>
      <c r="E11" s="6"/>
      <c r="F11" s="6"/>
      <c r="G11" s="1"/>
      <c r="H11" s="31"/>
      <c r="I11" s="4"/>
      <c r="J11" s="5"/>
      <c r="K11" s="6"/>
      <c r="L11" s="6"/>
    </row>
    <row r="12" spans="1:12" x14ac:dyDescent="0.45">
      <c r="A12" s="1"/>
      <c r="B12" s="31"/>
      <c r="C12" s="4"/>
      <c r="D12" s="5"/>
      <c r="E12" s="6"/>
      <c r="F12" s="6"/>
      <c r="G12" s="1"/>
      <c r="H12" s="31"/>
      <c r="I12" s="4"/>
      <c r="J12" s="5"/>
      <c r="K12" s="6"/>
      <c r="L12" s="6"/>
    </row>
    <row r="13" spans="1:12" x14ac:dyDescent="0.45">
      <c r="A13" s="1"/>
      <c r="B13" s="31"/>
      <c r="C13" s="4" t="s">
        <v>6</v>
      </c>
      <c r="D13" s="8"/>
      <c r="E13" s="6">
        <f>SUBTOTAL(9,Tableau4132342515867224260[Revenus])</f>
        <v>0</v>
      </c>
      <c r="F13" s="6">
        <f>SUBTOTAL(9,Tableau4132342515867224260[Dépenses])</f>
        <v>0</v>
      </c>
      <c r="G13" s="1"/>
      <c r="H13" s="31"/>
      <c r="I13" s="4" t="s">
        <v>6</v>
      </c>
      <c r="J13" s="8"/>
      <c r="K13" s="6">
        <f>SUBTOTAL(9,Tableau44616264554617014325065[Revenus])</f>
        <v>0</v>
      </c>
      <c r="L13" s="6">
        <f>SUBTOTAL(9,Tableau44616264554617014325065[Dépenses])</f>
        <v>0</v>
      </c>
    </row>
    <row r="14" spans="1:12" ht="14.65" customHeight="1" x14ac:dyDescent="0.45">
      <c r="A14" s="1"/>
      <c r="B14" s="10"/>
      <c r="C14" s="11"/>
      <c r="D14" s="11"/>
      <c r="E14" s="11"/>
      <c r="F14" s="11"/>
      <c r="G14" s="1"/>
      <c r="H14" s="1"/>
      <c r="I14" s="1"/>
      <c r="J14" s="1"/>
      <c r="K14" s="1"/>
      <c r="L14" s="1"/>
    </row>
    <row r="15" spans="1:12" x14ac:dyDescent="0.45">
      <c r="A15" s="1"/>
      <c r="B15" s="10"/>
      <c r="C15" s="12"/>
      <c r="D15" s="13"/>
      <c r="E15" s="9"/>
      <c r="F15" s="14"/>
      <c r="G15" s="1"/>
      <c r="H15" s="1"/>
      <c r="I15" s="1"/>
      <c r="J15" s="1"/>
      <c r="K15" s="1"/>
      <c r="L15" s="1"/>
    </row>
    <row r="16" spans="1:12" ht="18" customHeight="1" x14ac:dyDescent="0.45">
      <c r="A16" s="1"/>
      <c r="B16" s="32" t="s">
        <v>44</v>
      </c>
      <c r="C16" s="3" t="s">
        <v>2</v>
      </c>
      <c r="D16" s="3" t="s">
        <v>3</v>
      </c>
      <c r="E16" s="3" t="s">
        <v>4</v>
      </c>
      <c r="F16" s="3" t="s">
        <v>5</v>
      </c>
      <c r="G16" s="1"/>
      <c r="H16" s="32" t="s">
        <v>7</v>
      </c>
      <c r="I16" s="3" t="s">
        <v>2</v>
      </c>
      <c r="J16" s="3" t="s">
        <v>3</v>
      </c>
      <c r="K16" s="3" t="s">
        <v>4</v>
      </c>
      <c r="L16" s="3" t="s">
        <v>5</v>
      </c>
    </row>
    <row r="17" spans="1:12" x14ac:dyDescent="0.45">
      <c r="A17" s="1"/>
      <c r="B17" s="31"/>
      <c r="C17" s="4"/>
      <c r="D17" s="5"/>
      <c r="E17" s="7"/>
      <c r="F17" s="7"/>
      <c r="G17" s="1"/>
      <c r="H17" s="31"/>
      <c r="I17" s="4"/>
      <c r="J17" s="5"/>
      <c r="K17" s="7"/>
      <c r="L17" s="7"/>
    </row>
    <row r="18" spans="1:12" x14ac:dyDescent="0.45">
      <c r="A18" s="1"/>
      <c r="B18" s="31"/>
      <c r="C18" s="4"/>
      <c r="D18" s="5"/>
      <c r="E18" s="6"/>
      <c r="F18" s="6"/>
      <c r="G18" s="1"/>
      <c r="H18" s="31"/>
      <c r="I18" s="4"/>
      <c r="J18" s="5"/>
      <c r="K18" s="6"/>
      <c r="L18" s="6"/>
    </row>
    <row r="19" spans="1:12" x14ac:dyDescent="0.45">
      <c r="A19" s="1"/>
      <c r="B19" s="31"/>
      <c r="C19" s="4"/>
      <c r="D19" s="5"/>
      <c r="E19" s="6"/>
      <c r="F19" s="6"/>
      <c r="G19" s="1"/>
      <c r="H19" s="31"/>
      <c r="I19" s="4"/>
      <c r="J19" s="5"/>
      <c r="K19" s="6"/>
      <c r="L19" s="6"/>
    </row>
    <row r="20" spans="1:12" x14ac:dyDescent="0.45">
      <c r="A20" s="1"/>
      <c r="B20" s="31"/>
      <c r="C20" s="4"/>
      <c r="D20" s="5"/>
      <c r="E20" s="6"/>
      <c r="F20" s="6"/>
      <c r="G20" s="1"/>
      <c r="H20" s="31"/>
      <c r="I20" s="4"/>
      <c r="J20" s="5"/>
      <c r="K20" s="6"/>
      <c r="L20" s="6"/>
    </row>
    <row r="21" spans="1:12" x14ac:dyDescent="0.45">
      <c r="A21" s="1"/>
      <c r="B21" s="31"/>
      <c r="C21" s="4"/>
      <c r="D21" s="5"/>
      <c r="E21" s="6"/>
      <c r="F21" s="6"/>
      <c r="G21" s="1"/>
      <c r="H21" s="31"/>
      <c r="I21" s="4"/>
      <c r="J21" s="5"/>
      <c r="K21" s="6"/>
      <c r="L21" s="6"/>
    </row>
    <row r="22" spans="1:12" x14ac:dyDescent="0.45">
      <c r="A22" s="1"/>
      <c r="B22" s="31"/>
      <c r="C22" s="4"/>
      <c r="D22" s="5"/>
      <c r="E22" s="6"/>
      <c r="F22" s="6"/>
      <c r="G22" s="1"/>
      <c r="H22" s="31"/>
      <c r="I22" s="4"/>
      <c r="J22" s="5"/>
      <c r="K22" s="6"/>
      <c r="L22" s="6"/>
    </row>
    <row r="23" spans="1:12" x14ac:dyDescent="0.45">
      <c r="A23" s="1"/>
      <c r="B23" s="31"/>
      <c r="C23" s="4"/>
      <c r="D23" s="5"/>
      <c r="E23" s="6"/>
      <c r="F23" s="6"/>
      <c r="G23" s="1"/>
      <c r="H23" s="31"/>
      <c r="I23" s="4"/>
      <c r="J23" s="5"/>
      <c r="K23" s="6"/>
      <c r="L23" s="6"/>
    </row>
    <row r="24" spans="1:12" x14ac:dyDescent="0.45">
      <c r="A24" s="1"/>
      <c r="B24" s="31"/>
      <c r="C24" s="4"/>
      <c r="D24" s="5"/>
      <c r="E24" s="6"/>
      <c r="F24" s="6"/>
      <c r="G24" s="1"/>
      <c r="H24" s="31"/>
      <c r="I24" s="4"/>
      <c r="J24" s="5"/>
      <c r="K24" s="6"/>
      <c r="L24" s="6"/>
    </row>
    <row r="25" spans="1:12" x14ac:dyDescent="0.45">
      <c r="A25" s="1"/>
      <c r="B25" s="31"/>
      <c r="C25" s="4" t="s">
        <v>6</v>
      </c>
      <c r="D25" s="8"/>
      <c r="E25" s="6">
        <f>SUBTOTAL(9,Tableau446162645546170284361[Revenus])</f>
        <v>0</v>
      </c>
      <c r="F25" s="6">
        <f>SUBTOTAL(9,Tableau446162645546170284361[Dépenses])</f>
        <v>0</v>
      </c>
      <c r="G25" s="1"/>
      <c r="H25" s="31"/>
      <c r="I25" s="4" t="s">
        <v>6</v>
      </c>
      <c r="J25" s="8"/>
      <c r="K25" s="6">
        <f>SUBTOTAL(9,Tableau44616264554617020244462[Revenus])</f>
        <v>0</v>
      </c>
      <c r="L25" s="6">
        <f>SUBTOTAL(9,Tableau44616264554617020244462[Dépenses])</f>
        <v>0</v>
      </c>
    </row>
    <row r="28" spans="1:12" ht="18" customHeight="1" x14ac:dyDescent="0.45">
      <c r="B28" s="33"/>
      <c r="C28" s="23"/>
      <c r="D28" s="23"/>
      <c r="E28" s="23"/>
      <c r="F28" s="23"/>
      <c r="H28" s="33"/>
      <c r="I28" s="23"/>
      <c r="J28" s="23"/>
      <c r="K28" s="23"/>
      <c r="L28" s="23"/>
    </row>
    <row r="29" spans="1:12" x14ac:dyDescent="0.45">
      <c r="B29" s="31"/>
      <c r="C29" s="20"/>
      <c r="D29" s="24"/>
      <c r="E29" s="25"/>
      <c r="F29" s="25"/>
      <c r="H29" s="31"/>
      <c r="I29" s="20"/>
      <c r="J29" s="24"/>
      <c r="K29" s="25"/>
      <c r="L29" s="25"/>
    </row>
    <row r="30" spans="1:12" x14ac:dyDescent="0.45">
      <c r="B30" s="31"/>
      <c r="C30" s="20"/>
      <c r="D30" s="24"/>
      <c r="E30" s="22"/>
      <c r="F30" s="22"/>
      <c r="H30" s="31"/>
      <c r="I30" s="20"/>
      <c r="J30" s="24"/>
      <c r="K30" s="22"/>
      <c r="L30" s="22"/>
    </row>
    <row r="31" spans="1:12" x14ac:dyDescent="0.45">
      <c r="B31" s="31"/>
      <c r="C31" s="20"/>
      <c r="D31" s="24"/>
      <c r="E31" s="22"/>
      <c r="F31" s="22"/>
      <c r="H31" s="31"/>
      <c r="I31" s="20"/>
      <c r="J31" s="24"/>
      <c r="K31" s="22"/>
      <c r="L31" s="22"/>
    </row>
    <row r="32" spans="1:12" x14ac:dyDescent="0.45">
      <c r="B32" s="31"/>
      <c r="C32" s="20"/>
      <c r="D32" s="24"/>
      <c r="E32" s="22"/>
      <c r="F32" s="22"/>
      <c r="H32" s="31"/>
      <c r="I32" s="20"/>
      <c r="J32" s="24"/>
      <c r="K32" s="22"/>
      <c r="L32" s="22"/>
    </row>
    <row r="33" spans="2:12" x14ac:dyDescent="0.45">
      <c r="B33" s="31"/>
      <c r="C33" s="20"/>
      <c r="D33" s="24"/>
      <c r="E33" s="22"/>
      <c r="F33" s="22"/>
      <c r="H33" s="31"/>
      <c r="I33" s="20"/>
      <c r="J33" s="24"/>
      <c r="K33" s="22"/>
      <c r="L33" s="22"/>
    </row>
    <row r="34" spans="2:12" x14ac:dyDescent="0.45">
      <c r="B34" s="31"/>
      <c r="C34" s="20"/>
      <c r="D34" s="24"/>
      <c r="E34" s="22"/>
      <c r="F34" s="22"/>
      <c r="H34" s="31"/>
      <c r="I34" s="20"/>
      <c r="J34" s="24"/>
      <c r="K34" s="22"/>
      <c r="L34" s="22"/>
    </row>
    <row r="35" spans="2:12" x14ac:dyDescent="0.45">
      <c r="B35" s="31"/>
      <c r="C35" s="20"/>
      <c r="D35" s="24"/>
      <c r="E35" s="22"/>
      <c r="F35" s="22"/>
      <c r="H35" s="31"/>
      <c r="I35" s="20"/>
      <c r="J35" s="24"/>
      <c r="K35" s="22"/>
      <c r="L35" s="22"/>
    </row>
    <row r="36" spans="2:12" x14ac:dyDescent="0.45">
      <c r="B36" s="31"/>
      <c r="C36" s="20"/>
      <c r="D36" s="24"/>
      <c r="E36" s="22"/>
      <c r="F36" s="22"/>
      <c r="H36" s="31"/>
      <c r="I36" s="20"/>
      <c r="J36" s="24"/>
      <c r="K36" s="22"/>
      <c r="L36" s="22"/>
    </row>
    <row r="37" spans="2:12" x14ac:dyDescent="0.45">
      <c r="B37" s="31"/>
      <c r="C37" s="20"/>
      <c r="D37" s="21"/>
      <c r="E37" s="22"/>
      <c r="F37" s="22"/>
      <c r="H37" s="31"/>
      <c r="I37" s="20"/>
      <c r="J37" s="21"/>
      <c r="K37" s="22"/>
      <c r="L37" s="22"/>
    </row>
    <row r="39" spans="2:12" x14ac:dyDescent="0.45">
      <c r="E39" s="16"/>
    </row>
    <row r="40" spans="2:12" ht="18" customHeight="1" x14ac:dyDescent="0.45">
      <c r="B40" s="33"/>
      <c r="C40" s="23"/>
      <c r="D40" s="23"/>
      <c r="E40" s="23"/>
      <c r="F40" s="23"/>
      <c r="H40" s="33"/>
      <c r="I40" s="23"/>
      <c r="J40" s="23"/>
      <c r="K40" s="23"/>
      <c r="L40" s="23"/>
    </row>
    <row r="41" spans="2:12" x14ac:dyDescent="0.45">
      <c r="B41" s="31"/>
      <c r="C41" s="20"/>
      <c r="D41" s="24"/>
      <c r="E41" s="25"/>
      <c r="F41" s="25"/>
      <c r="H41" s="31"/>
      <c r="I41" s="20"/>
      <c r="J41" s="24"/>
      <c r="K41" s="25"/>
      <c r="L41" s="25"/>
    </row>
    <row r="42" spans="2:12" x14ac:dyDescent="0.45">
      <c r="B42" s="31"/>
      <c r="C42" s="20"/>
      <c r="D42" s="24"/>
      <c r="E42" s="22"/>
      <c r="F42" s="22"/>
      <c r="H42" s="31"/>
      <c r="I42" s="20"/>
      <c r="J42" s="24"/>
      <c r="K42" s="22"/>
      <c r="L42" s="22"/>
    </row>
    <row r="43" spans="2:12" x14ac:dyDescent="0.45">
      <c r="B43" s="31"/>
      <c r="C43" s="20"/>
      <c r="D43" s="24"/>
      <c r="E43" s="22"/>
      <c r="F43" s="22"/>
      <c r="H43" s="31"/>
      <c r="I43" s="20"/>
      <c r="J43" s="24"/>
      <c r="K43" s="22"/>
      <c r="L43" s="22"/>
    </row>
    <row r="44" spans="2:12" x14ac:dyDescent="0.45">
      <c r="B44" s="31"/>
      <c r="C44" s="20"/>
      <c r="D44" s="24"/>
      <c r="E44" s="22"/>
      <c r="F44" s="22"/>
      <c r="H44" s="31"/>
      <c r="I44" s="20"/>
      <c r="J44" s="24"/>
      <c r="K44" s="22"/>
      <c r="L44" s="22"/>
    </row>
    <row r="45" spans="2:12" x14ac:dyDescent="0.45">
      <c r="B45" s="31"/>
      <c r="C45" s="20"/>
      <c r="D45" s="24"/>
      <c r="E45" s="22"/>
      <c r="F45" s="22"/>
      <c r="H45" s="31"/>
      <c r="I45" s="20"/>
      <c r="J45" s="24"/>
      <c r="K45" s="22"/>
      <c r="L45" s="22"/>
    </row>
    <row r="46" spans="2:12" x14ac:dyDescent="0.45">
      <c r="B46" s="31"/>
      <c r="C46" s="20"/>
      <c r="D46" s="24"/>
      <c r="E46" s="22"/>
      <c r="F46" s="22"/>
      <c r="H46" s="31"/>
      <c r="I46" s="20"/>
      <c r="J46" s="24"/>
      <c r="K46" s="22"/>
      <c r="L46" s="22"/>
    </row>
    <row r="47" spans="2:12" x14ac:dyDescent="0.45">
      <c r="B47" s="31"/>
      <c r="C47" s="20"/>
      <c r="D47" s="24"/>
      <c r="E47" s="22"/>
      <c r="F47" s="22"/>
      <c r="H47" s="31"/>
      <c r="I47" s="20"/>
      <c r="J47" s="24"/>
      <c r="K47" s="22"/>
      <c r="L47" s="22"/>
    </row>
    <row r="48" spans="2:12" x14ac:dyDescent="0.45">
      <c r="B48" s="31"/>
      <c r="C48" s="20"/>
      <c r="D48" s="24"/>
      <c r="E48" s="22"/>
      <c r="F48" s="22"/>
      <c r="H48" s="31"/>
      <c r="I48" s="20"/>
      <c r="J48" s="24"/>
      <c r="K48" s="22"/>
      <c r="L48" s="22"/>
    </row>
    <row r="49" spans="2:12" x14ac:dyDescent="0.45">
      <c r="B49" s="31"/>
      <c r="C49" s="20"/>
      <c r="D49" s="21"/>
      <c r="E49" s="22"/>
      <c r="F49" s="22"/>
      <c r="H49" s="31"/>
      <c r="I49" s="20"/>
      <c r="J49" s="21"/>
      <c r="K49" s="22"/>
      <c r="L49" s="22"/>
    </row>
    <row r="51" spans="2:12" x14ac:dyDescent="0.45">
      <c r="E51" s="16"/>
      <c r="K51" s="16"/>
    </row>
    <row r="52" spans="2:12" ht="18" customHeight="1" x14ac:dyDescent="0.45">
      <c r="B52" s="33"/>
      <c r="C52" s="23"/>
      <c r="D52" s="23"/>
      <c r="E52" s="23"/>
      <c r="F52" s="23"/>
      <c r="H52" s="33"/>
      <c r="I52" s="23"/>
      <c r="J52" s="23"/>
      <c r="K52" s="23"/>
      <c r="L52" s="23"/>
    </row>
    <row r="53" spans="2:12" x14ac:dyDescent="0.45">
      <c r="B53" s="31"/>
      <c r="C53" s="20"/>
      <c r="D53" s="24"/>
      <c r="E53" s="25"/>
      <c r="F53" s="25"/>
      <c r="H53" s="31"/>
      <c r="I53" s="20"/>
      <c r="J53" s="24"/>
      <c r="K53" s="25"/>
      <c r="L53" s="25"/>
    </row>
    <row r="54" spans="2:12" x14ac:dyDescent="0.45">
      <c r="B54" s="31"/>
      <c r="C54" s="20"/>
      <c r="D54" s="24"/>
      <c r="E54" s="22"/>
      <c r="F54" s="22"/>
      <c r="H54" s="31"/>
      <c r="I54" s="20"/>
      <c r="J54" s="24"/>
      <c r="K54" s="22"/>
      <c r="L54" s="22"/>
    </row>
    <row r="55" spans="2:12" x14ac:dyDescent="0.45">
      <c r="B55" s="31"/>
      <c r="C55" s="20"/>
      <c r="D55" s="24"/>
      <c r="E55" s="22"/>
      <c r="F55" s="22"/>
      <c r="H55" s="31"/>
      <c r="I55" s="20"/>
      <c r="J55" s="24"/>
      <c r="K55" s="22"/>
      <c r="L55" s="22"/>
    </row>
    <row r="56" spans="2:12" x14ac:dyDescent="0.45">
      <c r="B56" s="31"/>
      <c r="C56" s="20"/>
      <c r="D56" s="24"/>
      <c r="E56" s="22"/>
      <c r="F56" s="22"/>
      <c r="H56" s="31"/>
      <c r="I56" s="20"/>
      <c r="J56" s="24"/>
      <c r="K56" s="22"/>
      <c r="L56" s="22"/>
    </row>
    <row r="57" spans="2:12" x14ac:dyDescent="0.45">
      <c r="B57" s="31"/>
      <c r="C57" s="20"/>
      <c r="D57" s="24"/>
      <c r="E57" s="22"/>
      <c r="F57" s="22"/>
      <c r="H57" s="31"/>
      <c r="I57" s="20"/>
      <c r="J57" s="24"/>
      <c r="K57" s="22"/>
      <c r="L57" s="22"/>
    </row>
    <row r="58" spans="2:12" x14ac:dyDescent="0.45">
      <c r="B58" s="31"/>
      <c r="C58" s="20"/>
      <c r="D58" s="24"/>
      <c r="E58" s="22"/>
      <c r="F58" s="22"/>
      <c r="H58" s="31"/>
      <c r="I58" s="20"/>
      <c r="J58" s="24"/>
      <c r="K58" s="22"/>
      <c r="L58" s="22"/>
    </row>
    <row r="59" spans="2:12" x14ac:dyDescent="0.45">
      <c r="B59" s="31"/>
      <c r="C59" s="20"/>
      <c r="D59" s="24"/>
      <c r="E59" s="22"/>
      <c r="F59" s="22"/>
      <c r="H59" s="31"/>
      <c r="I59" s="20"/>
      <c r="J59" s="24"/>
      <c r="K59" s="22"/>
      <c r="L59" s="22"/>
    </row>
    <row r="60" spans="2:12" x14ac:dyDescent="0.45">
      <c r="B60" s="31"/>
      <c r="C60" s="20"/>
      <c r="D60" s="24"/>
      <c r="E60" s="22"/>
      <c r="F60" s="22"/>
      <c r="H60" s="31"/>
      <c r="I60" s="20"/>
      <c r="J60" s="24"/>
      <c r="K60" s="22"/>
      <c r="L60" s="22"/>
    </row>
    <row r="61" spans="2:12" x14ac:dyDescent="0.45">
      <c r="B61" s="31"/>
      <c r="C61" s="20"/>
      <c r="D61" s="21"/>
      <c r="E61" s="22"/>
      <c r="F61" s="22"/>
      <c r="H61" s="31"/>
      <c r="I61" s="20"/>
      <c r="J61" s="21"/>
      <c r="K61" s="22"/>
      <c r="L61" s="22"/>
    </row>
    <row r="64" spans="2:12" ht="18" customHeight="1" x14ac:dyDescent="0.45">
      <c r="B64" s="33"/>
      <c r="C64" s="23"/>
      <c r="D64" s="23"/>
      <c r="E64" s="23"/>
      <c r="F64" s="23"/>
    </row>
    <row r="65" spans="2:6" x14ac:dyDescent="0.45">
      <c r="B65" s="31"/>
      <c r="C65" s="20"/>
      <c r="D65" s="24"/>
      <c r="E65" s="25"/>
      <c r="F65" s="25"/>
    </row>
    <row r="66" spans="2:6" x14ac:dyDescent="0.45">
      <c r="B66" s="31"/>
      <c r="C66" s="20"/>
      <c r="D66" s="24"/>
      <c r="E66" s="22"/>
      <c r="F66" s="22"/>
    </row>
    <row r="67" spans="2:6" x14ac:dyDescent="0.45">
      <c r="B67" s="31"/>
      <c r="C67" s="20"/>
      <c r="D67" s="24"/>
      <c r="E67" s="22"/>
      <c r="F67" s="22"/>
    </row>
    <row r="68" spans="2:6" x14ac:dyDescent="0.45">
      <c r="B68" s="31"/>
      <c r="C68" s="20"/>
      <c r="D68" s="24"/>
      <c r="E68" s="22"/>
      <c r="F68" s="22"/>
    </row>
    <row r="69" spans="2:6" x14ac:dyDescent="0.45">
      <c r="B69" s="31"/>
      <c r="C69" s="20"/>
      <c r="D69" s="24"/>
      <c r="E69" s="22"/>
      <c r="F69" s="22"/>
    </row>
    <row r="70" spans="2:6" x14ac:dyDescent="0.45">
      <c r="B70" s="31"/>
      <c r="C70" s="20"/>
      <c r="D70" s="24"/>
      <c r="E70" s="22"/>
      <c r="F70" s="22"/>
    </row>
    <row r="71" spans="2:6" x14ac:dyDescent="0.45">
      <c r="B71" s="31"/>
      <c r="C71" s="20"/>
      <c r="D71" s="24"/>
      <c r="E71" s="22"/>
      <c r="F71" s="22"/>
    </row>
    <row r="72" spans="2:6" x14ac:dyDescent="0.45">
      <c r="B72" s="31"/>
      <c r="C72" s="20"/>
      <c r="D72" s="24"/>
      <c r="E72" s="22"/>
      <c r="F72" s="22"/>
    </row>
    <row r="73" spans="2:6" x14ac:dyDescent="0.45">
      <c r="B73" s="31"/>
      <c r="C73" s="20"/>
      <c r="D73" s="21"/>
      <c r="E73" s="22"/>
      <c r="F73" s="22"/>
    </row>
  </sheetData>
  <mergeCells count="12">
    <mergeCell ref="B64:B73"/>
    <mergeCell ref="H52:H61"/>
    <mergeCell ref="B16:B25"/>
    <mergeCell ref="B28:B37"/>
    <mergeCell ref="H16:H25"/>
    <mergeCell ref="B52:B61"/>
    <mergeCell ref="C2:F2"/>
    <mergeCell ref="H28:H37"/>
    <mergeCell ref="B4:B13"/>
    <mergeCell ref="B40:B49"/>
    <mergeCell ref="H40:H49"/>
    <mergeCell ref="H4:H13"/>
  </mergeCells>
  <pageMargins left="0.7" right="0.7" top="0.75" bottom="0.75" header="0.3" footer="0.3"/>
  <pageSetup paperSize="9" orientation="portrait"/>
  <tableParts count="4">
    <tablePart r:id="rId1"/>
    <tablePart r:id="rId2"/>
    <tablePart r:id="rId3"/>
    <tablePart r:id="rId4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73"/>
  <sheetViews>
    <sheetView zoomScale="66" workbookViewId="0">
      <selection activeCell="F20" sqref="F20"/>
    </sheetView>
  </sheetViews>
  <sheetFormatPr baseColWidth="10" defaultColWidth="9.06640625" defaultRowHeight="14.25" x14ac:dyDescent="0.45"/>
  <cols>
    <col min="1" max="1" width="5.9296875" style="15" customWidth="1"/>
    <col min="2" max="2" width="9.06640625" style="15" customWidth="1"/>
    <col min="3" max="3" width="35.6640625" style="15" customWidth="1"/>
    <col min="4" max="4" width="20.53125" style="15" customWidth="1"/>
    <col min="5" max="5" width="20.59765625" style="15" customWidth="1"/>
    <col min="6" max="6" width="20.6640625" style="15" customWidth="1"/>
    <col min="7" max="8" width="9.06640625" style="15" customWidth="1"/>
    <col min="9" max="9" width="35.6640625" style="15" customWidth="1"/>
    <col min="10" max="11" width="20.59765625" style="15" customWidth="1"/>
    <col min="12" max="12" width="20.6640625" style="15" customWidth="1"/>
    <col min="13" max="23" width="9.06640625" style="15" customWidth="1"/>
    <col min="24" max="16384" width="9.06640625" style="15"/>
  </cols>
  <sheetData>
    <row r="1" spans="1:12" ht="28.15" customHeight="1" thickBot="1" x14ac:dyDescent="0.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33.4" customHeight="1" thickBot="1" x14ac:dyDescent="0.5">
      <c r="A2" s="1"/>
      <c r="B2" s="1"/>
      <c r="C2" s="30" t="s">
        <v>0</v>
      </c>
      <c r="D2" s="31"/>
      <c r="E2" s="31"/>
      <c r="F2" s="31"/>
      <c r="G2" s="1"/>
      <c r="H2" s="2"/>
      <c r="I2" s="19" t="s">
        <v>1</v>
      </c>
      <c r="J2" s="18"/>
      <c r="K2" s="17"/>
      <c r="L2" s="17"/>
    </row>
    <row r="3" spans="1:12" x14ac:dyDescent="0.4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 ht="18" customHeight="1" x14ac:dyDescent="0.45">
      <c r="A4" s="1"/>
      <c r="B4" s="32" t="s">
        <v>52</v>
      </c>
      <c r="C4" s="3" t="s">
        <v>2</v>
      </c>
      <c r="D4" s="3" t="s">
        <v>3</v>
      </c>
      <c r="E4" s="3" t="s">
        <v>4</v>
      </c>
      <c r="F4" s="3" t="s">
        <v>5</v>
      </c>
      <c r="G4" s="1"/>
      <c r="H4" s="32" t="s">
        <v>7</v>
      </c>
      <c r="I4" s="3" t="s">
        <v>2</v>
      </c>
      <c r="J4" s="3" t="s">
        <v>3</v>
      </c>
      <c r="K4" s="3" t="s">
        <v>4</v>
      </c>
      <c r="L4" s="3" t="s">
        <v>5</v>
      </c>
    </row>
    <row r="5" spans="1:12" x14ac:dyDescent="0.45">
      <c r="A5" s="1"/>
      <c r="B5" s="31"/>
      <c r="C5" s="4"/>
      <c r="D5" s="5"/>
      <c r="E5" s="6"/>
      <c r="F5" s="6"/>
      <c r="G5" s="1"/>
      <c r="H5" s="31"/>
      <c r="I5" s="4"/>
      <c r="J5" s="5"/>
      <c r="K5" s="7"/>
      <c r="L5" s="7"/>
    </row>
    <row r="6" spans="1:12" x14ac:dyDescent="0.45">
      <c r="A6" s="1"/>
      <c r="B6" s="31"/>
      <c r="C6" s="4"/>
      <c r="D6" s="5"/>
      <c r="E6" s="6"/>
      <c r="F6" s="6"/>
      <c r="G6" s="1"/>
      <c r="H6" s="31"/>
      <c r="I6" s="4"/>
      <c r="J6" s="5"/>
      <c r="K6" s="6"/>
      <c r="L6" s="6"/>
    </row>
    <row r="7" spans="1:12" x14ac:dyDescent="0.45">
      <c r="A7" s="1"/>
      <c r="B7" s="31"/>
      <c r="C7" s="4"/>
      <c r="D7" s="5"/>
      <c r="E7" s="6"/>
      <c r="F7" s="6"/>
      <c r="G7" s="1"/>
      <c r="H7" s="31"/>
      <c r="I7" s="4"/>
      <c r="J7" s="5"/>
      <c r="K7" s="6"/>
      <c r="L7" s="6"/>
    </row>
    <row r="8" spans="1:12" x14ac:dyDescent="0.45">
      <c r="A8" s="1"/>
      <c r="B8" s="31"/>
      <c r="C8" s="4"/>
      <c r="D8" s="5"/>
      <c r="E8" s="6"/>
      <c r="F8" s="6"/>
      <c r="G8" s="1"/>
      <c r="H8" s="31"/>
      <c r="I8" s="4"/>
      <c r="J8" s="5"/>
      <c r="K8" s="6"/>
      <c r="L8" s="6"/>
    </row>
    <row r="9" spans="1:12" x14ac:dyDescent="0.45">
      <c r="A9" s="1"/>
      <c r="B9" s="31"/>
      <c r="C9" s="4"/>
      <c r="D9" s="5"/>
      <c r="E9" s="6"/>
      <c r="F9" s="6"/>
      <c r="G9" s="1"/>
      <c r="H9" s="31"/>
      <c r="I9" s="4"/>
      <c r="J9" s="5"/>
      <c r="K9" s="6"/>
      <c r="L9" s="6"/>
    </row>
    <row r="10" spans="1:12" x14ac:dyDescent="0.45">
      <c r="A10" s="1"/>
      <c r="B10" s="31"/>
      <c r="C10" s="4"/>
      <c r="D10" s="5"/>
      <c r="E10" s="6"/>
      <c r="F10" s="6"/>
      <c r="G10" s="1"/>
      <c r="H10" s="31"/>
      <c r="I10" s="4"/>
      <c r="J10" s="5"/>
      <c r="K10" s="6"/>
      <c r="L10" s="6"/>
    </row>
    <row r="11" spans="1:12" x14ac:dyDescent="0.45">
      <c r="A11" s="1"/>
      <c r="B11" s="31"/>
      <c r="C11" s="4"/>
      <c r="D11" s="5"/>
      <c r="E11" s="6"/>
      <c r="F11" s="6"/>
      <c r="G11" s="1"/>
      <c r="H11" s="31"/>
      <c r="I11" s="4"/>
      <c r="J11" s="5"/>
      <c r="K11" s="6"/>
      <c r="L11" s="6"/>
    </row>
    <row r="12" spans="1:12" x14ac:dyDescent="0.45">
      <c r="A12" s="1"/>
      <c r="B12" s="31"/>
      <c r="C12" s="4"/>
      <c r="D12" s="5"/>
      <c r="E12" s="6"/>
      <c r="F12" s="6"/>
      <c r="G12" s="1"/>
      <c r="H12" s="31"/>
      <c r="I12" s="4"/>
      <c r="J12" s="5"/>
      <c r="K12" s="6"/>
      <c r="L12" s="6"/>
    </row>
    <row r="13" spans="1:12" x14ac:dyDescent="0.45">
      <c r="A13" s="1"/>
      <c r="B13" s="31"/>
      <c r="C13" s="4" t="s">
        <v>6</v>
      </c>
      <c r="D13" s="8"/>
      <c r="E13" s="6">
        <f>SUBTOTAL(9,Tableau4132342515867224266[Revenus])</f>
        <v>0</v>
      </c>
      <c r="F13" s="6">
        <f>SUBTOTAL(9,Tableau4132342515867224266[Dépenses])</f>
        <v>0</v>
      </c>
      <c r="G13" s="1"/>
      <c r="H13" s="31"/>
      <c r="I13" s="4" t="s">
        <v>6</v>
      </c>
      <c r="J13" s="8"/>
      <c r="K13" s="6">
        <f>SUBTOTAL(9,Tableau44616264554617014325071[Revenus])</f>
        <v>0</v>
      </c>
      <c r="L13" s="6">
        <f>SUBTOTAL(9,Tableau44616264554617014325071[Dépenses])</f>
        <v>0</v>
      </c>
    </row>
    <row r="14" spans="1:12" ht="14.65" customHeight="1" x14ac:dyDescent="0.45">
      <c r="A14" s="1"/>
      <c r="B14" s="10"/>
      <c r="C14" s="11"/>
      <c r="D14" s="11"/>
      <c r="E14" s="11"/>
      <c r="F14" s="11"/>
      <c r="G14" s="1"/>
      <c r="H14" s="1"/>
      <c r="I14" s="1"/>
      <c r="J14" s="1"/>
      <c r="K14" s="1"/>
      <c r="L14" s="1"/>
    </row>
    <row r="15" spans="1:12" x14ac:dyDescent="0.45">
      <c r="A15" s="1"/>
      <c r="B15" s="10"/>
      <c r="C15" s="12"/>
      <c r="D15" s="13"/>
      <c r="E15" s="9"/>
      <c r="F15" s="14"/>
      <c r="G15" s="1"/>
      <c r="H15" s="1"/>
      <c r="I15" s="1"/>
      <c r="J15" s="1"/>
      <c r="K15" s="1"/>
      <c r="L15" s="1"/>
    </row>
    <row r="16" spans="1:12" ht="18" customHeight="1" x14ac:dyDescent="0.45">
      <c r="A16" s="1"/>
      <c r="B16" s="33"/>
      <c r="C16" s="23"/>
      <c r="D16" s="23"/>
      <c r="E16" s="23"/>
      <c r="F16" s="23"/>
      <c r="G16" s="29"/>
      <c r="H16" s="33"/>
      <c r="I16" s="23"/>
      <c r="J16" s="23"/>
      <c r="K16" s="23"/>
      <c r="L16" s="23"/>
    </row>
    <row r="17" spans="1:12" x14ac:dyDescent="0.45">
      <c r="A17" s="1"/>
      <c r="B17" s="31"/>
      <c r="C17" s="20"/>
      <c r="D17" s="24"/>
      <c r="E17" s="25"/>
      <c r="F17" s="25"/>
      <c r="G17" s="29"/>
      <c r="H17" s="31"/>
      <c r="I17" s="20"/>
      <c r="J17" s="24"/>
      <c r="K17" s="25"/>
      <c r="L17" s="25"/>
    </row>
    <row r="18" spans="1:12" x14ac:dyDescent="0.45">
      <c r="A18" s="1"/>
      <c r="B18" s="31"/>
      <c r="C18" s="20"/>
      <c r="D18" s="24"/>
      <c r="E18" s="22"/>
      <c r="F18" s="22"/>
      <c r="G18" s="29"/>
      <c r="H18" s="31"/>
      <c r="I18" s="20"/>
      <c r="J18" s="24"/>
      <c r="K18" s="22"/>
      <c r="L18" s="22"/>
    </row>
    <row r="19" spans="1:12" x14ac:dyDescent="0.45">
      <c r="A19" s="1"/>
      <c r="B19" s="31"/>
      <c r="C19" s="20"/>
      <c r="D19" s="24"/>
      <c r="E19" s="22"/>
      <c r="F19" s="22"/>
      <c r="G19" s="29"/>
      <c r="H19" s="31"/>
      <c r="I19" s="20"/>
      <c r="J19" s="24"/>
      <c r="K19" s="22"/>
      <c r="L19" s="22"/>
    </row>
    <row r="20" spans="1:12" x14ac:dyDescent="0.45">
      <c r="A20" s="1"/>
      <c r="B20" s="31"/>
      <c r="C20" s="20"/>
      <c r="D20" s="24"/>
      <c r="E20" s="22"/>
      <c r="F20" s="22"/>
      <c r="G20" s="29"/>
      <c r="H20" s="31"/>
      <c r="I20" s="20"/>
      <c r="J20" s="24"/>
      <c r="K20" s="22"/>
      <c r="L20" s="22"/>
    </row>
    <row r="21" spans="1:12" x14ac:dyDescent="0.45">
      <c r="A21" s="1"/>
      <c r="B21" s="31"/>
      <c r="C21" s="20"/>
      <c r="D21" s="24"/>
      <c r="E21" s="22"/>
      <c r="F21" s="22"/>
      <c r="G21" s="29"/>
      <c r="H21" s="31"/>
      <c r="I21" s="20"/>
      <c r="J21" s="24"/>
      <c r="K21" s="22"/>
      <c r="L21" s="22"/>
    </row>
    <row r="22" spans="1:12" x14ac:dyDescent="0.45">
      <c r="A22" s="1"/>
      <c r="B22" s="31"/>
      <c r="C22" s="20"/>
      <c r="D22" s="24"/>
      <c r="E22" s="22"/>
      <c r="F22" s="22"/>
      <c r="G22" s="29"/>
      <c r="H22" s="31"/>
      <c r="I22" s="20"/>
      <c r="J22" s="24"/>
      <c r="K22" s="22"/>
      <c r="L22" s="22"/>
    </row>
    <row r="23" spans="1:12" x14ac:dyDescent="0.45">
      <c r="A23" s="1"/>
      <c r="B23" s="31"/>
      <c r="C23" s="20"/>
      <c r="D23" s="24"/>
      <c r="E23" s="22"/>
      <c r="F23" s="22"/>
      <c r="G23" s="29"/>
      <c r="H23" s="31"/>
      <c r="I23" s="20"/>
      <c r="J23" s="24"/>
      <c r="K23" s="22"/>
      <c r="L23" s="22"/>
    </row>
    <row r="24" spans="1:12" x14ac:dyDescent="0.45">
      <c r="A24" s="1"/>
      <c r="B24" s="31"/>
      <c r="C24" s="20"/>
      <c r="D24" s="24"/>
      <c r="E24" s="22"/>
      <c r="F24" s="22"/>
      <c r="G24" s="29"/>
      <c r="H24" s="31"/>
      <c r="I24" s="20"/>
      <c r="J24" s="24"/>
      <c r="K24" s="22"/>
      <c r="L24" s="22"/>
    </row>
    <row r="25" spans="1:12" x14ac:dyDescent="0.45">
      <c r="A25" s="1"/>
      <c r="B25" s="31"/>
      <c r="C25" s="20"/>
      <c r="D25" s="21"/>
      <c r="E25" s="22"/>
      <c r="F25" s="22"/>
      <c r="G25" s="29"/>
      <c r="H25" s="31"/>
      <c r="I25" s="20"/>
      <c r="J25" s="21"/>
      <c r="K25" s="22"/>
      <c r="L25" s="22"/>
    </row>
    <row r="28" spans="1:12" ht="18" customHeight="1" x14ac:dyDescent="0.45">
      <c r="B28" s="33"/>
      <c r="C28" s="23"/>
      <c r="D28" s="23"/>
      <c r="E28" s="23"/>
      <c r="F28" s="23"/>
      <c r="H28" s="33"/>
      <c r="I28" s="23"/>
      <c r="J28" s="23"/>
      <c r="K28" s="23"/>
      <c r="L28" s="23"/>
    </row>
    <row r="29" spans="1:12" x14ac:dyDescent="0.45">
      <c r="B29" s="31"/>
      <c r="C29" s="20"/>
      <c r="D29" s="24"/>
      <c r="E29" s="25"/>
      <c r="F29" s="25"/>
      <c r="H29" s="31"/>
      <c r="I29" s="20"/>
      <c r="J29" s="24"/>
      <c r="K29" s="25"/>
      <c r="L29" s="25"/>
    </row>
    <row r="30" spans="1:12" x14ac:dyDescent="0.45">
      <c r="B30" s="31"/>
      <c r="C30" s="20"/>
      <c r="D30" s="24"/>
      <c r="E30" s="22"/>
      <c r="F30" s="22"/>
      <c r="H30" s="31"/>
      <c r="I30" s="20"/>
      <c r="J30" s="24"/>
      <c r="K30" s="22"/>
      <c r="L30" s="22"/>
    </row>
    <row r="31" spans="1:12" x14ac:dyDescent="0.45">
      <c r="B31" s="31"/>
      <c r="C31" s="20"/>
      <c r="D31" s="24"/>
      <c r="E31" s="22"/>
      <c r="F31" s="22"/>
      <c r="H31" s="31"/>
      <c r="I31" s="20"/>
      <c r="J31" s="24"/>
      <c r="K31" s="22"/>
      <c r="L31" s="22"/>
    </row>
    <row r="32" spans="1:12" x14ac:dyDescent="0.45">
      <c r="B32" s="31"/>
      <c r="C32" s="20"/>
      <c r="D32" s="24"/>
      <c r="E32" s="22"/>
      <c r="F32" s="22"/>
      <c r="H32" s="31"/>
      <c r="I32" s="20"/>
      <c r="J32" s="24"/>
      <c r="K32" s="22"/>
      <c r="L32" s="22"/>
    </row>
    <row r="33" spans="2:12" x14ac:dyDescent="0.45">
      <c r="B33" s="31"/>
      <c r="C33" s="20"/>
      <c r="D33" s="24"/>
      <c r="E33" s="22"/>
      <c r="F33" s="22"/>
      <c r="H33" s="31"/>
      <c r="I33" s="20"/>
      <c r="J33" s="24"/>
      <c r="K33" s="22"/>
      <c r="L33" s="22"/>
    </row>
    <row r="34" spans="2:12" x14ac:dyDescent="0.45">
      <c r="B34" s="31"/>
      <c r="C34" s="20"/>
      <c r="D34" s="24"/>
      <c r="E34" s="22"/>
      <c r="F34" s="22"/>
      <c r="H34" s="31"/>
      <c r="I34" s="20"/>
      <c r="J34" s="24"/>
      <c r="K34" s="22"/>
      <c r="L34" s="22"/>
    </row>
    <row r="35" spans="2:12" x14ac:dyDescent="0.45">
      <c r="B35" s="31"/>
      <c r="C35" s="20"/>
      <c r="D35" s="24"/>
      <c r="E35" s="22"/>
      <c r="F35" s="22"/>
      <c r="H35" s="31"/>
      <c r="I35" s="20"/>
      <c r="J35" s="24"/>
      <c r="K35" s="22"/>
      <c r="L35" s="22"/>
    </row>
    <row r="36" spans="2:12" x14ac:dyDescent="0.45">
      <c r="B36" s="31"/>
      <c r="C36" s="20"/>
      <c r="D36" s="24"/>
      <c r="E36" s="22"/>
      <c r="F36" s="22"/>
      <c r="H36" s="31"/>
      <c r="I36" s="20"/>
      <c r="J36" s="24"/>
      <c r="K36" s="22"/>
      <c r="L36" s="22"/>
    </row>
    <row r="37" spans="2:12" x14ac:dyDescent="0.45">
      <c r="B37" s="31"/>
      <c r="C37" s="20"/>
      <c r="D37" s="21"/>
      <c r="E37" s="22"/>
      <c r="F37" s="22"/>
      <c r="H37" s="31"/>
      <c r="I37" s="20"/>
      <c r="J37" s="21"/>
      <c r="K37" s="22"/>
      <c r="L37" s="22"/>
    </row>
    <row r="39" spans="2:12" x14ac:dyDescent="0.45">
      <c r="E39" s="16"/>
    </row>
    <row r="40" spans="2:12" ht="18" customHeight="1" x14ac:dyDescent="0.45">
      <c r="B40" s="33"/>
      <c r="C40" s="23"/>
      <c r="D40" s="23"/>
      <c r="E40" s="23"/>
      <c r="F40" s="23"/>
      <c r="H40" s="33"/>
      <c r="I40" s="23"/>
      <c r="J40" s="23"/>
      <c r="K40" s="23"/>
      <c r="L40" s="23"/>
    </row>
    <row r="41" spans="2:12" x14ac:dyDescent="0.45">
      <c r="B41" s="31"/>
      <c r="C41" s="20"/>
      <c r="D41" s="24"/>
      <c r="E41" s="25"/>
      <c r="F41" s="25"/>
      <c r="H41" s="31"/>
      <c r="I41" s="20"/>
      <c r="J41" s="24"/>
      <c r="K41" s="25"/>
      <c r="L41" s="25"/>
    </row>
    <row r="42" spans="2:12" x14ac:dyDescent="0.45">
      <c r="B42" s="31"/>
      <c r="C42" s="20"/>
      <c r="D42" s="24"/>
      <c r="E42" s="22"/>
      <c r="F42" s="22"/>
      <c r="H42" s="31"/>
      <c r="I42" s="20"/>
      <c r="J42" s="24"/>
      <c r="K42" s="22"/>
      <c r="L42" s="22"/>
    </row>
    <row r="43" spans="2:12" x14ac:dyDescent="0.45">
      <c r="B43" s="31"/>
      <c r="C43" s="20"/>
      <c r="D43" s="24"/>
      <c r="E43" s="22"/>
      <c r="F43" s="22"/>
      <c r="H43" s="31"/>
      <c r="I43" s="20"/>
      <c r="J43" s="24"/>
      <c r="K43" s="22"/>
      <c r="L43" s="22"/>
    </row>
    <row r="44" spans="2:12" x14ac:dyDescent="0.45">
      <c r="B44" s="31"/>
      <c r="C44" s="20"/>
      <c r="D44" s="24"/>
      <c r="E44" s="22"/>
      <c r="F44" s="22"/>
      <c r="H44" s="31"/>
      <c r="I44" s="20"/>
      <c r="J44" s="24"/>
      <c r="K44" s="22"/>
      <c r="L44" s="22"/>
    </row>
    <row r="45" spans="2:12" x14ac:dyDescent="0.45">
      <c r="B45" s="31"/>
      <c r="C45" s="20"/>
      <c r="D45" s="24"/>
      <c r="E45" s="22"/>
      <c r="F45" s="22"/>
      <c r="H45" s="31"/>
      <c r="I45" s="20"/>
      <c r="J45" s="24"/>
      <c r="K45" s="22"/>
      <c r="L45" s="22"/>
    </row>
    <row r="46" spans="2:12" x14ac:dyDescent="0.45">
      <c r="B46" s="31"/>
      <c r="C46" s="20"/>
      <c r="D46" s="24"/>
      <c r="E46" s="22"/>
      <c r="F46" s="22"/>
      <c r="H46" s="31"/>
      <c r="I46" s="20"/>
      <c r="J46" s="24"/>
      <c r="K46" s="22"/>
      <c r="L46" s="22"/>
    </row>
    <row r="47" spans="2:12" x14ac:dyDescent="0.45">
      <c r="B47" s="31"/>
      <c r="C47" s="20"/>
      <c r="D47" s="24"/>
      <c r="E47" s="22"/>
      <c r="F47" s="22"/>
      <c r="H47" s="31"/>
      <c r="I47" s="20"/>
      <c r="J47" s="24"/>
      <c r="K47" s="22"/>
      <c r="L47" s="22"/>
    </row>
    <row r="48" spans="2:12" x14ac:dyDescent="0.45">
      <c r="B48" s="31"/>
      <c r="C48" s="20"/>
      <c r="D48" s="24"/>
      <c r="E48" s="22"/>
      <c r="F48" s="22"/>
      <c r="H48" s="31"/>
      <c r="I48" s="20"/>
      <c r="J48" s="24"/>
      <c r="K48" s="22"/>
      <c r="L48" s="22"/>
    </row>
    <row r="49" spans="2:12" x14ac:dyDescent="0.45">
      <c r="B49" s="31"/>
      <c r="C49" s="20"/>
      <c r="D49" s="21"/>
      <c r="E49" s="22"/>
      <c r="F49" s="22"/>
      <c r="H49" s="31"/>
      <c r="I49" s="20"/>
      <c r="J49" s="21"/>
      <c r="K49" s="22"/>
      <c r="L49" s="22"/>
    </row>
    <row r="51" spans="2:12" x14ac:dyDescent="0.45">
      <c r="E51" s="16"/>
      <c r="K51" s="16"/>
    </row>
    <row r="52" spans="2:12" ht="18" customHeight="1" x14ac:dyDescent="0.45">
      <c r="B52" s="33"/>
      <c r="C52" s="23"/>
      <c r="D52" s="23"/>
      <c r="E52" s="23"/>
      <c r="F52" s="23"/>
      <c r="H52" s="33"/>
      <c r="I52" s="23"/>
      <c r="J52" s="23"/>
      <c r="K52" s="23"/>
      <c r="L52" s="23"/>
    </row>
    <row r="53" spans="2:12" x14ac:dyDescent="0.45">
      <c r="B53" s="31"/>
      <c r="C53" s="20"/>
      <c r="D53" s="24"/>
      <c r="E53" s="25"/>
      <c r="F53" s="25"/>
      <c r="H53" s="31"/>
      <c r="I53" s="20"/>
      <c r="J53" s="24"/>
      <c r="K53" s="25"/>
      <c r="L53" s="25"/>
    </row>
    <row r="54" spans="2:12" x14ac:dyDescent="0.45">
      <c r="B54" s="31"/>
      <c r="C54" s="20"/>
      <c r="D54" s="24"/>
      <c r="E54" s="22"/>
      <c r="F54" s="22"/>
      <c r="H54" s="31"/>
      <c r="I54" s="20"/>
      <c r="J54" s="24"/>
      <c r="K54" s="22"/>
      <c r="L54" s="22"/>
    </row>
    <row r="55" spans="2:12" x14ac:dyDescent="0.45">
      <c r="B55" s="31"/>
      <c r="C55" s="20"/>
      <c r="D55" s="24"/>
      <c r="E55" s="22"/>
      <c r="F55" s="22"/>
      <c r="H55" s="31"/>
      <c r="I55" s="20"/>
      <c r="J55" s="24"/>
      <c r="K55" s="22"/>
      <c r="L55" s="22"/>
    </row>
    <row r="56" spans="2:12" x14ac:dyDescent="0.45">
      <c r="B56" s="31"/>
      <c r="C56" s="20"/>
      <c r="D56" s="24"/>
      <c r="E56" s="22"/>
      <c r="F56" s="22"/>
      <c r="H56" s="31"/>
      <c r="I56" s="20"/>
      <c r="J56" s="24"/>
      <c r="K56" s="22"/>
      <c r="L56" s="22"/>
    </row>
    <row r="57" spans="2:12" x14ac:dyDescent="0.45">
      <c r="B57" s="31"/>
      <c r="C57" s="20"/>
      <c r="D57" s="24"/>
      <c r="E57" s="22"/>
      <c r="F57" s="22"/>
      <c r="H57" s="31"/>
      <c r="I57" s="20"/>
      <c r="J57" s="24"/>
      <c r="K57" s="22"/>
      <c r="L57" s="22"/>
    </row>
    <row r="58" spans="2:12" x14ac:dyDescent="0.45">
      <c r="B58" s="31"/>
      <c r="C58" s="20"/>
      <c r="D58" s="24"/>
      <c r="E58" s="22"/>
      <c r="F58" s="22"/>
      <c r="H58" s="31"/>
      <c r="I58" s="20"/>
      <c r="J58" s="24"/>
      <c r="K58" s="22"/>
      <c r="L58" s="22"/>
    </row>
    <row r="59" spans="2:12" x14ac:dyDescent="0.45">
      <c r="B59" s="31"/>
      <c r="C59" s="20"/>
      <c r="D59" s="24"/>
      <c r="E59" s="22"/>
      <c r="F59" s="22"/>
      <c r="H59" s="31"/>
      <c r="I59" s="20"/>
      <c r="J59" s="24"/>
      <c r="K59" s="22"/>
      <c r="L59" s="22"/>
    </row>
    <row r="60" spans="2:12" x14ac:dyDescent="0.45">
      <c r="B60" s="31"/>
      <c r="C60" s="20"/>
      <c r="D60" s="24"/>
      <c r="E60" s="22"/>
      <c r="F60" s="22"/>
      <c r="H60" s="31"/>
      <c r="I60" s="20"/>
      <c r="J60" s="24"/>
      <c r="K60" s="22"/>
      <c r="L60" s="22"/>
    </row>
    <row r="61" spans="2:12" x14ac:dyDescent="0.45">
      <c r="B61" s="31"/>
      <c r="C61" s="20"/>
      <c r="D61" s="21"/>
      <c r="E61" s="22"/>
      <c r="F61" s="22"/>
      <c r="H61" s="31"/>
      <c r="I61" s="20"/>
      <c r="J61" s="21"/>
      <c r="K61" s="22"/>
      <c r="L61" s="22"/>
    </row>
    <row r="64" spans="2:12" ht="18" customHeight="1" x14ac:dyDescent="0.45">
      <c r="B64" s="33"/>
      <c r="C64" s="23"/>
      <c r="D64" s="23"/>
      <c r="E64" s="23"/>
      <c r="F64" s="23"/>
    </row>
    <row r="65" spans="2:6" x14ac:dyDescent="0.45">
      <c r="B65" s="31"/>
      <c r="C65" s="20"/>
      <c r="D65" s="24"/>
      <c r="E65" s="25"/>
      <c r="F65" s="25"/>
    </row>
    <row r="66" spans="2:6" x14ac:dyDescent="0.45">
      <c r="B66" s="31"/>
      <c r="C66" s="20"/>
      <c r="D66" s="24"/>
      <c r="E66" s="22"/>
      <c r="F66" s="22"/>
    </row>
    <row r="67" spans="2:6" x14ac:dyDescent="0.45">
      <c r="B67" s="31"/>
      <c r="C67" s="20"/>
      <c r="D67" s="24"/>
      <c r="E67" s="22"/>
      <c r="F67" s="22"/>
    </row>
    <row r="68" spans="2:6" x14ac:dyDescent="0.45">
      <c r="B68" s="31"/>
      <c r="C68" s="20"/>
      <c r="D68" s="24"/>
      <c r="E68" s="22"/>
      <c r="F68" s="22"/>
    </row>
    <row r="69" spans="2:6" x14ac:dyDescent="0.45">
      <c r="B69" s="31"/>
      <c r="C69" s="20"/>
      <c r="D69" s="24"/>
      <c r="E69" s="22"/>
      <c r="F69" s="22"/>
    </row>
    <row r="70" spans="2:6" x14ac:dyDescent="0.45">
      <c r="B70" s="31"/>
      <c r="C70" s="20"/>
      <c r="D70" s="24"/>
      <c r="E70" s="22"/>
      <c r="F70" s="22"/>
    </row>
    <row r="71" spans="2:6" x14ac:dyDescent="0.45">
      <c r="B71" s="31"/>
      <c r="C71" s="20"/>
      <c r="D71" s="24"/>
      <c r="E71" s="22"/>
      <c r="F71" s="22"/>
    </row>
    <row r="72" spans="2:6" x14ac:dyDescent="0.45">
      <c r="B72" s="31"/>
      <c r="C72" s="20"/>
      <c r="D72" s="24"/>
      <c r="E72" s="22"/>
      <c r="F72" s="22"/>
    </row>
    <row r="73" spans="2:6" x14ac:dyDescent="0.45">
      <c r="B73" s="31"/>
      <c r="C73" s="20"/>
      <c r="D73" s="21"/>
      <c r="E73" s="22"/>
      <c r="F73" s="22"/>
    </row>
  </sheetData>
  <mergeCells count="12">
    <mergeCell ref="B64:B73"/>
    <mergeCell ref="H52:H61"/>
    <mergeCell ref="B16:B25"/>
    <mergeCell ref="B28:B37"/>
    <mergeCell ref="H16:H25"/>
    <mergeCell ref="B52:B61"/>
    <mergeCell ref="C2:F2"/>
    <mergeCell ref="H28:H37"/>
    <mergeCell ref="B4:B13"/>
    <mergeCell ref="B40:B49"/>
    <mergeCell ref="H40:H49"/>
    <mergeCell ref="H4:H13"/>
  </mergeCells>
  <pageMargins left="0.7" right="0.7" top="0.75" bottom="0.75" header="0.3" footer="0.3"/>
  <pageSetup paperSize="9" orientation="portrait"/>
  <tableParts count="2">
    <tablePart r:id="rId1"/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73"/>
  <sheetViews>
    <sheetView zoomScale="66" workbookViewId="0">
      <selection activeCell="J2" sqref="J2"/>
    </sheetView>
  </sheetViews>
  <sheetFormatPr baseColWidth="10" defaultColWidth="9.06640625" defaultRowHeight="14.25" x14ac:dyDescent="0.45"/>
  <cols>
    <col min="1" max="1" width="5.9296875" style="15" customWidth="1"/>
    <col min="2" max="2" width="9.06640625" style="15" customWidth="1"/>
    <col min="3" max="3" width="35.6640625" style="15" customWidth="1"/>
    <col min="4" max="4" width="20.53125" style="15" customWidth="1"/>
    <col min="5" max="5" width="20.59765625" style="15" customWidth="1"/>
    <col min="6" max="6" width="20.6640625" style="15" customWidth="1"/>
    <col min="7" max="8" width="9.06640625" style="15" customWidth="1"/>
    <col min="9" max="9" width="35.6640625" style="15" customWidth="1"/>
    <col min="10" max="11" width="20.59765625" style="15" customWidth="1"/>
    <col min="12" max="12" width="20.6640625" style="15" customWidth="1"/>
    <col min="13" max="23" width="9.06640625" style="15" customWidth="1"/>
    <col min="24" max="16384" width="9.06640625" style="15"/>
  </cols>
  <sheetData>
    <row r="1" spans="1:12" ht="28.15" customHeight="1" thickBot="1" x14ac:dyDescent="0.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33.4" customHeight="1" thickBot="1" x14ac:dyDescent="0.5">
      <c r="A2" s="1"/>
      <c r="B2" s="1"/>
      <c r="C2" s="30" t="s">
        <v>45</v>
      </c>
      <c r="D2" s="31"/>
      <c r="E2" s="31"/>
      <c r="F2" s="31"/>
      <c r="G2" s="1"/>
      <c r="H2" s="2"/>
      <c r="I2" s="19" t="s">
        <v>1</v>
      </c>
      <c r="J2" s="18"/>
      <c r="K2" s="17"/>
      <c r="L2" s="17"/>
    </row>
    <row r="3" spans="1:12" x14ac:dyDescent="0.4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 ht="18" customHeight="1" x14ac:dyDescent="0.45">
      <c r="A4" s="1"/>
      <c r="B4" s="32" t="s">
        <v>46</v>
      </c>
      <c r="C4" s="3" t="s">
        <v>2</v>
      </c>
      <c r="D4" s="3" t="s">
        <v>3</v>
      </c>
      <c r="E4" s="3" t="s">
        <v>4</v>
      </c>
      <c r="F4" s="3" t="s">
        <v>5</v>
      </c>
      <c r="G4" s="1"/>
      <c r="H4" s="32" t="s">
        <v>7</v>
      </c>
      <c r="I4" s="3" t="s">
        <v>2</v>
      </c>
      <c r="J4" s="3" t="s">
        <v>3</v>
      </c>
      <c r="K4" s="3" t="s">
        <v>4</v>
      </c>
      <c r="L4" s="3" t="s">
        <v>5</v>
      </c>
    </row>
    <row r="5" spans="1:12" x14ac:dyDescent="0.45">
      <c r="A5" s="1"/>
      <c r="B5" s="31"/>
      <c r="C5" s="4"/>
      <c r="D5" s="5"/>
      <c r="E5" s="6"/>
      <c r="F5" s="6"/>
      <c r="G5" s="1"/>
      <c r="H5" s="31"/>
      <c r="I5" s="4"/>
      <c r="J5" s="5"/>
      <c r="K5" s="7"/>
      <c r="L5" s="7"/>
    </row>
    <row r="6" spans="1:12" x14ac:dyDescent="0.45">
      <c r="A6" s="1"/>
      <c r="B6" s="31"/>
      <c r="C6" s="4"/>
      <c r="D6" s="5"/>
      <c r="E6" s="6"/>
      <c r="F6" s="6"/>
      <c r="G6" s="1"/>
      <c r="H6" s="31"/>
      <c r="I6" s="4"/>
      <c r="J6" s="5"/>
      <c r="K6" s="6"/>
      <c r="L6" s="6"/>
    </row>
    <row r="7" spans="1:12" x14ac:dyDescent="0.45">
      <c r="A7" s="1"/>
      <c r="B7" s="31"/>
      <c r="C7" s="4"/>
      <c r="D7" s="5"/>
      <c r="E7" s="6"/>
      <c r="F7" s="6"/>
      <c r="G7" s="1"/>
      <c r="H7" s="31"/>
      <c r="I7" s="4"/>
      <c r="J7" s="5"/>
      <c r="K7" s="6"/>
      <c r="L7" s="6"/>
    </row>
    <row r="8" spans="1:12" x14ac:dyDescent="0.45">
      <c r="A8" s="1"/>
      <c r="B8" s="31"/>
      <c r="C8" s="4"/>
      <c r="D8" s="5"/>
      <c r="E8" s="6"/>
      <c r="F8" s="6"/>
      <c r="G8" s="1"/>
      <c r="H8" s="31"/>
      <c r="I8" s="4"/>
      <c r="J8" s="5"/>
      <c r="K8" s="6"/>
      <c r="L8" s="6"/>
    </row>
    <row r="9" spans="1:12" x14ac:dyDescent="0.45">
      <c r="A9" s="1"/>
      <c r="B9" s="31"/>
      <c r="C9" s="4"/>
      <c r="D9" s="5"/>
      <c r="E9" s="6"/>
      <c r="F9" s="6"/>
      <c r="G9" s="1"/>
      <c r="H9" s="31"/>
      <c r="I9" s="4"/>
      <c r="J9" s="5"/>
      <c r="K9" s="6"/>
      <c r="L9" s="6"/>
    </row>
    <row r="10" spans="1:12" x14ac:dyDescent="0.45">
      <c r="A10" s="1"/>
      <c r="B10" s="31"/>
      <c r="C10" s="4"/>
      <c r="D10" s="5"/>
      <c r="E10" s="6"/>
      <c r="F10" s="6"/>
      <c r="G10" s="1"/>
      <c r="H10" s="31"/>
      <c r="I10" s="4"/>
      <c r="J10" s="5"/>
      <c r="K10" s="6"/>
      <c r="L10" s="6"/>
    </row>
    <row r="11" spans="1:12" x14ac:dyDescent="0.45">
      <c r="A11" s="1"/>
      <c r="B11" s="31"/>
      <c r="C11" s="4"/>
      <c r="D11" s="5"/>
      <c r="E11" s="6"/>
      <c r="F11" s="6"/>
      <c r="G11" s="1"/>
      <c r="H11" s="31"/>
      <c r="I11" s="4"/>
      <c r="J11" s="5"/>
      <c r="K11" s="6"/>
      <c r="L11" s="6"/>
    </row>
    <row r="12" spans="1:12" x14ac:dyDescent="0.45">
      <c r="A12" s="1"/>
      <c r="B12" s="31"/>
      <c r="C12" s="4"/>
      <c r="D12" s="5"/>
      <c r="E12" s="6"/>
      <c r="F12" s="6"/>
      <c r="G12" s="1"/>
      <c r="H12" s="31"/>
      <c r="I12" s="4"/>
      <c r="J12" s="5"/>
      <c r="K12" s="6"/>
      <c r="L12" s="6"/>
    </row>
    <row r="13" spans="1:12" x14ac:dyDescent="0.45">
      <c r="A13" s="1"/>
      <c r="B13" s="31"/>
      <c r="C13" s="4" t="s">
        <v>6</v>
      </c>
      <c r="D13" s="8"/>
      <c r="E13" s="6">
        <f>SUBTOTAL(9,Tableau41323425158672242607276[Revenus])</f>
        <v>0</v>
      </c>
      <c r="F13" s="6">
        <f>SUBTOTAL(9,Tableau41323425158672242607276[Dépenses])</f>
        <v>0</v>
      </c>
      <c r="G13" s="1"/>
      <c r="H13" s="31"/>
      <c r="I13" s="4" t="s">
        <v>6</v>
      </c>
      <c r="J13" s="8"/>
      <c r="K13" s="6">
        <f>SUBTOTAL(9,Tableau446162645546170143250657577[Revenus])</f>
        <v>0</v>
      </c>
      <c r="L13" s="6">
        <f>SUBTOTAL(9,Tableau446162645546170143250657577[Dépenses])</f>
        <v>0</v>
      </c>
    </row>
    <row r="14" spans="1:12" ht="14.65" customHeight="1" x14ac:dyDescent="0.45">
      <c r="A14" s="1"/>
      <c r="B14" s="10"/>
      <c r="C14" s="11"/>
      <c r="D14" s="11"/>
      <c r="E14" s="11"/>
      <c r="F14" s="11"/>
      <c r="G14" s="1"/>
      <c r="H14" s="1"/>
      <c r="I14" s="1"/>
      <c r="J14" s="1"/>
      <c r="K14" s="1"/>
      <c r="L14" s="1"/>
    </row>
    <row r="15" spans="1:12" x14ac:dyDescent="0.45">
      <c r="A15" s="1"/>
      <c r="B15" s="10"/>
      <c r="C15" s="12"/>
      <c r="D15" s="13"/>
      <c r="E15" s="9"/>
      <c r="F15" s="14"/>
      <c r="G15" s="1"/>
      <c r="H15" s="1"/>
      <c r="I15" s="1"/>
      <c r="J15" s="1"/>
      <c r="K15" s="1"/>
      <c r="L15" s="1"/>
    </row>
    <row r="16" spans="1:12" ht="18" customHeight="1" x14ac:dyDescent="0.45">
      <c r="A16" s="1"/>
      <c r="B16" s="33"/>
      <c r="C16" s="23"/>
      <c r="D16" s="23"/>
      <c r="E16" s="23"/>
      <c r="F16" s="23"/>
      <c r="G16" s="29"/>
      <c r="H16" s="33"/>
      <c r="I16" s="23"/>
      <c r="J16" s="23"/>
      <c r="K16" s="23"/>
      <c r="L16" s="23"/>
    </row>
    <row r="17" spans="1:12" x14ac:dyDescent="0.45">
      <c r="A17" s="1"/>
      <c r="B17" s="31"/>
      <c r="C17" s="20"/>
      <c r="D17" s="24"/>
      <c r="E17" s="25"/>
      <c r="F17" s="25"/>
      <c r="G17" s="29"/>
      <c r="H17" s="31"/>
      <c r="I17" s="20"/>
      <c r="J17" s="24"/>
      <c r="K17" s="25"/>
      <c r="L17" s="25"/>
    </row>
    <row r="18" spans="1:12" x14ac:dyDescent="0.45">
      <c r="A18" s="1"/>
      <c r="B18" s="31"/>
      <c r="C18" s="20"/>
      <c r="D18" s="24"/>
      <c r="E18" s="22"/>
      <c r="F18" s="22"/>
      <c r="G18" s="29"/>
      <c r="H18" s="31"/>
      <c r="I18" s="20"/>
      <c r="J18" s="24"/>
      <c r="K18" s="22"/>
      <c r="L18" s="22"/>
    </row>
    <row r="19" spans="1:12" x14ac:dyDescent="0.45">
      <c r="A19" s="1"/>
      <c r="B19" s="31"/>
      <c r="C19" s="20"/>
      <c r="D19" s="24"/>
      <c r="E19" s="22"/>
      <c r="F19" s="22"/>
      <c r="G19" s="29"/>
      <c r="H19" s="31"/>
      <c r="I19" s="20"/>
      <c r="J19" s="24"/>
      <c r="K19" s="22"/>
      <c r="L19" s="22"/>
    </row>
    <row r="20" spans="1:12" x14ac:dyDescent="0.45">
      <c r="A20" s="1"/>
      <c r="B20" s="31"/>
      <c r="C20" s="20"/>
      <c r="D20" s="24"/>
      <c r="E20" s="22"/>
      <c r="F20" s="22"/>
      <c r="G20" s="29"/>
      <c r="H20" s="31"/>
      <c r="I20" s="20"/>
      <c r="J20" s="24"/>
      <c r="K20" s="22"/>
      <c r="L20" s="22"/>
    </row>
    <row r="21" spans="1:12" x14ac:dyDescent="0.45">
      <c r="A21" s="1"/>
      <c r="B21" s="31"/>
      <c r="C21" s="20"/>
      <c r="D21" s="24"/>
      <c r="E21" s="22"/>
      <c r="F21" s="22"/>
      <c r="G21" s="29"/>
      <c r="H21" s="31"/>
      <c r="I21" s="20"/>
      <c r="J21" s="24"/>
      <c r="K21" s="22"/>
      <c r="L21" s="22"/>
    </row>
    <row r="22" spans="1:12" x14ac:dyDescent="0.45">
      <c r="A22" s="1"/>
      <c r="B22" s="31"/>
      <c r="C22" s="20"/>
      <c r="D22" s="24"/>
      <c r="E22" s="22"/>
      <c r="F22" s="22"/>
      <c r="G22" s="29"/>
      <c r="H22" s="31"/>
      <c r="I22" s="20"/>
      <c r="J22" s="24"/>
      <c r="K22" s="22"/>
      <c r="L22" s="22"/>
    </row>
    <row r="23" spans="1:12" x14ac:dyDescent="0.45">
      <c r="A23" s="1"/>
      <c r="B23" s="31"/>
      <c r="C23" s="20"/>
      <c r="D23" s="24"/>
      <c r="E23" s="22"/>
      <c r="F23" s="22"/>
      <c r="G23" s="29"/>
      <c r="H23" s="31"/>
      <c r="I23" s="20"/>
      <c r="J23" s="24"/>
      <c r="K23" s="22"/>
      <c r="L23" s="22"/>
    </row>
    <row r="24" spans="1:12" x14ac:dyDescent="0.45">
      <c r="A24" s="1"/>
      <c r="B24" s="31"/>
      <c r="C24" s="20"/>
      <c r="D24" s="24"/>
      <c r="E24" s="22"/>
      <c r="F24" s="22"/>
      <c r="G24" s="29"/>
      <c r="H24" s="31"/>
      <c r="I24" s="20"/>
      <c r="J24" s="24"/>
      <c r="K24" s="22"/>
      <c r="L24" s="22"/>
    </row>
    <row r="25" spans="1:12" x14ac:dyDescent="0.45">
      <c r="A25" s="1"/>
      <c r="B25" s="31"/>
      <c r="C25" s="20"/>
      <c r="D25" s="21"/>
      <c r="E25" s="22"/>
      <c r="F25" s="22"/>
      <c r="G25" s="29"/>
      <c r="H25" s="31"/>
      <c r="I25" s="20"/>
      <c r="J25" s="21"/>
      <c r="K25" s="22"/>
      <c r="L25" s="22"/>
    </row>
    <row r="28" spans="1:12" ht="18" customHeight="1" x14ac:dyDescent="0.45">
      <c r="B28" s="33"/>
      <c r="C28" s="23"/>
      <c r="D28" s="23"/>
      <c r="E28" s="23"/>
      <c r="F28" s="23"/>
      <c r="H28" s="33"/>
      <c r="I28" s="23"/>
      <c r="J28" s="23"/>
      <c r="K28" s="23"/>
      <c r="L28" s="23"/>
    </row>
    <row r="29" spans="1:12" x14ac:dyDescent="0.45">
      <c r="B29" s="31"/>
      <c r="C29" s="20"/>
      <c r="D29" s="24"/>
      <c r="E29" s="25"/>
      <c r="F29" s="25"/>
      <c r="H29" s="31"/>
      <c r="I29" s="20"/>
      <c r="J29" s="24"/>
      <c r="K29" s="25"/>
      <c r="L29" s="25"/>
    </row>
    <row r="30" spans="1:12" x14ac:dyDescent="0.45">
      <c r="B30" s="31"/>
      <c r="C30" s="20"/>
      <c r="D30" s="24"/>
      <c r="E30" s="22"/>
      <c r="F30" s="22"/>
      <c r="H30" s="31"/>
      <c r="I30" s="20"/>
      <c r="J30" s="24"/>
      <c r="K30" s="22"/>
      <c r="L30" s="22"/>
    </row>
    <row r="31" spans="1:12" x14ac:dyDescent="0.45">
      <c r="B31" s="31"/>
      <c r="C31" s="20"/>
      <c r="D31" s="24"/>
      <c r="E31" s="22"/>
      <c r="F31" s="22"/>
      <c r="H31" s="31"/>
      <c r="I31" s="20"/>
      <c r="J31" s="24"/>
      <c r="K31" s="22"/>
      <c r="L31" s="22"/>
    </row>
    <row r="32" spans="1:12" x14ac:dyDescent="0.45">
      <c r="B32" s="31"/>
      <c r="C32" s="20"/>
      <c r="D32" s="24"/>
      <c r="E32" s="22"/>
      <c r="F32" s="22"/>
      <c r="H32" s="31"/>
      <c r="I32" s="20"/>
      <c r="J32" s="24"/>
      <c r="K32" s="22"/>
      <c r="L32" s="22"/>
    </row>
    <row r="33" spans="2:12" x14ac:dyDescent="0.45">
      <c r="B33" s="31"/>
      <c r="C33" s="20"/>
      <c r="D33" s="24"/>
      <c r="E33" s="22"/>
      <c r="F33" s="22"/>
      <c r="H33" s="31"/>
      <c r="I33" s="20"/>
      <c r="J33" s="24"/>
      <c r="K33" s="22"/>
      <c r="L33" s="22"/>
    </row>
    <row r="34" spans="2:12" x14ac:dyDescent="0.45">
      <c r="B34" s="31"/>
      <c r="C34" s="20"/>
      <c r="D34" s="24"/>
      <c r="E34" s="22"/>
      <c r="F34" s="22"/>
      <c r="H34" s="31"/>
      <c r="I34" s="20"/>
      <c r="J34" s="24"/>
      <c r="K34" s="22"/>
      <c r="L34" s="22"/>
    </row>
    <row r="35" spans="2:12" x14ac:dyDescent="0.45">
      <c r="B35" s="31"/>
      <c r="C35" s="20"/>
      <c r="D35" s="24"/>
      <c r="E35" s="22"/>
      <c r="F35" s="22"/>
      <c r="H35" s="31"/>
      <c r="I35" s="20"/>
      <c r="J35" s="24"/>
      <c r="K35" s="22"/>
      <c r="L35" s="22"/>
    </row>
    <row r="36" spans="2:12" x14ac:dyDescent="0.45">
      <c r="B36" s="31"/>
      <c r="C36" s="20"/>
      <c r="D36" s="24"/>
      <c r="E36" s="22"/>
      <c r="F36" s="22"/>
      <c r="H36" s="31"/>
      <c r="I36" s="20"/>
      <c r="J36" s="24"/>
      <c r="K36" s="22"/>
      <c r="L36" s="22"/>
    </row>
    <row r="37" spans="2:12" x14ac:dyDescent="0.45">
      <c r="B37" s="31"/>
      <c r="C37" s="20"/>
      <c r="D37" s="21"/>
      <c r="E37" s="22"/>
      <c r="F37" s="22"/>
      <c r="H37" s="31"/>
      <c r="I37" s="20"/>
      <c r="J37" s="21"/>
      <c r="K37" s="22"/>
      <c r="L37" s="22"/>
    </row>
    <row r="39" spans="2:12" x14ac:dyDescent="0.45">
      <c r="E39" s="16"/>
    </row>
    <row r="40" spans="2:12" ht="18" customHeight="1" x14ac:dyDescent="0.45">
      <c r="B40" s="33"/>
      <c r="C40" s="23"/>
      <c r="D40" s="23"/>
      <c r="E40" s="23"/>
      <c r="F40" s="23"/>
      <c r="H40" s="33"/>
      <c r="I40" s="23"/>
      <c r="J40" s="23"/>
      <c r="K40" s="23"/>
      <c r="L40" s="23"/>
    </row>
    <row r="41" spans="2:12" x14ac:dyDescent="0.45">
      <c r="B41" s="31"/>
      <c r="C41" s="20"/>
      <c r="D41" s="24"/>
      <c r="E41" s="25"/>
      <c r="F41" s="25"/>
      <c r="H41" s="31"/>
      <c r="I41" s="20"/>
      <c r="J41" s="24"/>
      <c r="K41" s="25"/>
      <c r="L41" s="25"/>
    </row>
    <row r="42" spans="2:12" x14ac:dyDescent="0.45">
      <c r="B42" s="31"/>
      <c r="C42" s="20"/>
      <c r="D42" s="24"/>
      <c r="E42" s="22"/>
      <c r="F42" s="22"/>
      <c r="H42" s="31"/>
      <c r="I42" s="20"/>
      <c r="J42" s="24"/>
      <c r="K42" s="22"/>
      <c r="L42" s="22"/>
    </row>
    <row r="43" spans="2:12" x14ac:dyDescent="0.45">
      <c r="B43" s="31"/>
      <c r="C43" s="20"/>
      <c r="D43" s="24"/>
      <c r="E43" s="22"/>
      <c r="F43" s="22"/>
      <c r="H43" s="31"/>
      <c r="I43" s="20"/>
      <c r="J43" s="24"/>
      <c r="K43" s="22"/>
      <c r="L43" s="22"/>
    </row>
    <row r="44" spans="2:12" x14ac:dyDescent="0.45">
      <c r="B44" s="31"/>
      <c r="C44" s="20"/>
      <c r="D44" s="24"/>
      <c r="E44" s="22"/>
      <c r="F44" s="22"/>
      <c r="H44" s="31"/>
      <c r="I44" s="20"/>
      <c r="J44" s="24"/>
      <c r="K44" s="22"/>
      <c r="L44" s="22"/>
    </row>
    <row r="45" spans="2:12" x14ac:dyDescent="0.45">
      <c r="B45" s="31"/>
      <c r="C45" s="20"/>
      <c r="D45" s="24"/>
      <c r="E45" s="22"/>
      <c r="F45" s="22"/>
      <c r="H45" s="31"/>
      <c r="I45" s="20"/>
      <c r="J45" s="24"/>
      <c r="K45" s="22"/>
      <c r="L45" s="22"/>
    </row>
    <row r="46" spans="2:12" x14ac:dyDescent="0.45">
      <c r="B46" s="31"/>
      <c r="C46" s="20"/>
      <c r="D46" s="24"/>
      <c r="E46" s="22"/>
      <c r="F46" s="22"/>
      <c r="H46" s="31"/>
      <c r="I46" s="20"/>
      <c r="J46" s="24"/>
      <c r="K46" s="22"/>
      <c r="L46" s="22"/>
    </row>
    <row r="47" spans="2:12" x14ac:dyDescent="0.45">
      <c r="B47" s="31"/>
      <c r="C47" s="20"/>
      <c r="D47" s="24"/>
      <c r="E47" s="22"/>
      <c r="F47" s="22"/>
      <c r="H47" s="31"/>
      <c r="I47" s="20"/>
      <c r="J47" s="24"/>
      <c r="K47" s="22"/>
      <c r="L47" s="22"/>
    </row>
    <row r="48" spans="2:12" x14ac:dyDescent="0.45">
      <c r="B48" s="31"/>
      <c r="C48" s="20"/>
      <c r="D48" s="24"/>
      <c r="E48" s="22"/>
      <c r="F48" s="22"/>
      <c r="H48" s="31"/>
      <c r="I48" s="20"/>
      <c r="J48" s="24"/>
      <c r="K48" s="22"/>
      <c r="L48" s="22"/>
    </row>
    <row r="49" spans="2:12" x14ac:dyDescent="0.45">
      <c r="B49" s="31"/>
      <c r="C49" s="20"/>
      <c r="D49" s="21"/>
      <c r="E49" s="22"/>
      <c r="F49" s="22"/>
      <c r="H49" s="31"/>
      <c r="I49" s="20"/>
      <c r="J49" s="21"/>
      <c r="K49" s="22"/>
      <c r="L49" s="22"/>
    </row>
    <row r="51" spans="2:12" x14ac:dyDescent="0.45">
      <c r="E51" s="16"/>
      <c r="K51" s="16"/>
    </row>
    <row r="52" spans="2:12" ht="18" customHeight="1" x14ac:dyDescent="0.45">
      <c r="B52" s="33"/>
      <c r="C52" s="23"/>
      <c r="D52" s="23"/>
      <c r="E52" s="23"/>
      <c r="F52" s="23"/>
      <c r="H52" s="33"/>
      <c r="I52" s="23"/>
      <c r="J52" s="23"/>
      <c r="K52" s="23"/>
      <c r="L52" s="23"/>
    </row>
    <row r="53" spans="2:12" x14ac:dyDescent="0.45">
      <c r="B53" s="31"/>
      <c r="C53" s="20"/>
      <c r="D53" s="24"/>
      <c r="E53" s="25"/>
      <c r="F53" s="25"/>
      <c r="H53" s="31"/>
      <c r="I53" s="20"/>
      <c r="J53" s="24"/>
      <c r="K53" s="25"/>
      <c r="L53" s="25"/>
    </row>
    <row r="54" spans="2:12" x14ac:dyDescent="0.45">
      <c r="B54" s="31"/>
      <c r="C54" s="20"/>
      <c r="D54" s="24"/>
      <c r="E54" s="22"/>
      <c r="F54" s="22"/>
      <c r="H54" s="31"/>
      <c r="I54" s="20"/>
      <c r="J54" s="24"/>
      <c r="K54" s="22"/>
      <c r="L54" s="22"/>
    </row>
    <row r="55" spans="2:12" x14ac:dyDescent="0.45">
      <c r="B55" s="31"/>
      <c r="C55" s="20"/>
      <c r="D55" s="24"/>
      <c r="E55" s="22"/>
      <c r="F55" s="22"/>
      <c r="H55" s="31"/>
      <c r="I55" s="20"/>
      <c r="J55" s="24"/>
      <c r="K55" s="22"/>
      <c r="L55" s="22"/>
    </row>
    <row r="56" spans="2:12" x14ac:dyDescent="0.45">
      <c r="B56" s="31"/>
      <c r="C56" s="20"/>
      <c r="D56" s="24"/>
      <c r="E56" s="22"/>
      <c r="F56" s="22"/>
      <c r="H56" s="31"/>
      <c r="I56" s="20"/>
      <c r="J56" s="24"/>
      <c r="K56" s="22"/>
      <c r="L56" s="22"/>
    </row>
    <row r="57" spans="2:12" x14ac:dyDescent="0.45">
      <c r="B57" s="31"/>
      <c r="C57" s="20"/>
      <c r="D57" s="24"/>
      <c r="E57" s="22"/>
      <c r="F57" s="22"/>
      <c r="H57" s="31"/>
      <c r="I57" s="20"/>
      <c r="J57" s="24"/>
      <c r="K57" s="22"/>
      <c r="L57" s="22"/>
    </row>
    <row r="58" spans="2:12" x14ac:dyDescent="0.45">
      <c r="B58" s="31"/>
      <c r="C58" s="20"/>
      <c r="D58" s="24"/>
      <c r="E58" s="22"/>
      <c r="F58" s="22"/>
      <c r="H58" s="31"/>
      <c r="I58" s="20"/>
      <c r="J58" s="24"/>
      <c r="K58" s="22"/>
      <c r="L58" s="22"/>
    </row>
    <row r="59" spans="2:12" x14ac:dyDescent="0.45">
      <c r="B59" s="31"/>
      <c r="C59" s="20"/>
      <c r="D59" s="24"/>
      <c r="E59" s="22"/>
      <c r="F59" s="22"/>
      <c r="H59" s="31"/>
      <c r="I59" s="20"/>
      <c r="J59" s="24"/>
      <c r="K59" s="22"/>
      <c r="L59" s="22"/>
    </row>
    <row r="60" spans="2:12" x14ac:dyDescent="0.45">
      <c r="B60" s="31"/>
      <c r="C60" s="20"/>
      <c r="D60" s="24"/>
      <c r="E60" s="22"/>
      <c r="F60" s="22"/>
      <c r="H60" s="31"/>
      <c r="I60" s="20"/>
      <c r="J60" s="24"/>
      <c r="K60" s="22"/>
      <c r="L60" s="22"/>
    </row>
    <row r="61" spans="2:12" x14ac:dyDescent="0.45">
      <c r="B61" s="31"/>
      <c r="C61" s="20"/>
      <c r="D61" s="21"/>
      <c r="E61" s="22"/>
      <c r="F61" s="22"/>
      <c r="H61" s="31"/>
      <c r="I61" s="20"/>
      <c r="J61" s="21"/>
      <c r="K61" s="22"/>
      <c r="L61" s="22"/>
    </row>
    <row r="64" spans="2:12" ht="18" customHeight="1" x14ac:dyDescent="0.45">
      <c r="B64" s="33"/>
      <c r="C64" s="23"/>
      <c r="D64" s="23"/>
      <c r="E64" s="23"/>
      <c r="F64" s="23"/>
    </row>
    <row r="65" spans="2:6" x14ac:dyDescent="0.45">
      <c r="B65" s="31"/>
      <c r="C65" s="20"/>
      <c r="D65" s="24"/>
      <c r="E65" s="25"/>
      <c r="F65" s="25"/>
    </row>
    <row r="66" spans="2:6" x14ac:dyDescent="0.45">
      <c r="B66" s="31"/>
      <c r="C66" s="20"/>
      <c r="D66" s="24"/>
      <c r="E66" s="22"/>
      <c r="F66" s="22"/>
    </row>
    <row r="67" spans="2:6" x14ac:dyDescent="0.45">
      <c r="B67" s="31"/>
      <c r="C67" s="20"/>
      <c r="D67" s="24"/>
      <c r="E67" s="22"/>
      <c r="F67" s="22"/>
    </row>
    <row r="68" spans="2:6" x14ac:dyDescent="0.45">
      <c r="B68" s="31"/>
      <c r="C68" s="20"/>
      <c r="D68" s="24"/>
      <c r="E68" s="22"/>
      <c r="F68" s="22"/>
    </row>
    <row r="69" spans="2:6" x14ac:dyDescent="0.45">
      <c r="B69" s="31"/>
      <c r="C69" s="20"/>
      <c r="D69" s="24"/>
      <c r="E69" s="22"/>
      <c r="F69" s="22"/>
    </row>
    <row r="70" spans="2:6" x14ac:dyDescent="0.45">
      <c r="B70" s="31"/>
      <c r="C70" s="20"/>
      <c r="D70" s="24"/>
      <c r="E70" s="22"/>
      <c r="F70" s="22"/>
    </row>
    <row r="71" spans="2:6" x14ac:dyDescent="0.45">
      <c r="B71" s="31"/>
      <c r="C71" s="20"/>
      <c r="D71" s="24"/>
      <c r="E71" s="22"/>
      <c r="F71" s="22"/>
    </row>
    <row r="72" spans="2:6" x14ac:dyDescent="0.45">
      <c r="B72" s="31"/>
      <c r="C72" s="20"/>
      <c r="D72" s="24"/>
      <c r="E72" s="22"/>
      <c r="F72" s="22"/>
    </row>
    <row r="73" spans="2:6" x14ac:dyDescent="0.45">
      <c r="B73" s="31"/>
      <c r="C73" s="20"/>
      <c r="D73" s="21"/>
      <c r="E73" s="22"/>
      <c r="F73" s="22"/>
    </row>
  </sheetData>
  <mergeCells count="12">
    <mergeCell ref="B64:B73"/>
    <mergeCell ref="H52:H61"/>
    <mergeCell ref="B16:B25"/>
    <mergeCell ref="B28:B37"/>
    <mergeCell ref="H16:H25"/>
    <mergeCell ref="B52:B61"/>
    <mergeCell ref="C2:F2"/>
    <mergeCell ref="H28:H37"/>
    <mergeCell ref="B4:B13"/>
    <mergeCell ref="B40:B49"/>
    <mergeCell ref="H40:H49"/>
    <mergeCell ref="H4:H13"/>
  </mergeCells>
  <pageMargins left="0.7" right="0.7" top="0.75" bottom="0.75" header="0.3" footer="0.3"/>
  <pageSetup paperSize="9" orientation="portrait"/>
  <tableParts count="2">
    <tablePart r:id="rId1"/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73"/>
  <sheetViews>
    <sheetView tabSelected="1" zoomScale="66" workbookViewId="0">
      <selection activeCell="C3" sqref="C3"/>
    </sheetView>
  </sheetViews>
  <sheetFormatPr baseColWidth="10" defaultColWidth="9.06640625" defaultRowHeight="14.25" x14ac:dyDescent="0.45"/>
  <cols>
    <col min="1" max="1" width="5.9296875" style="15" customWidth="1"/>
    <col min="2" max="2" width="9.06640625" style="15" customWidth="1"/>
    <col min="3" max="3" width="35.6640625" style="15" customWidth="1"/>
    <col min="4" max="4" width="20.53125" style="15" customWidth="1"/>
    <col min="5" max="5" width="20.59765625" style="15" customWidth="1"/>
    <col min="6" max="6" width="20.6640625" style="15" customWidth="1"/>
    <col min="7" max="8" width="9.06640625" style="15" customWidth="1"/>
    <col min="9" max="9" width="35.6640625" style="15" customWidth="1"/>
    <col min="10" max="11" width="20.59765625" style="15" customWidth="1"/>
    <col min="12" max="12" width="20.6640625" style="15" customWidth="1"/>
    <col min="13" max="23" width="9.06640625" style="15" customWidth="1"/>
    <col min="24" max="16384" width="9.06640625" style="15"/>
  </cols>
  <sheetData>
    <row r="1" spans="1:12" ht="28.15" customHeight="1" thickBot="1" x14ac:dyDescent="0.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33.4" customHeight="1" thickBot="1" x14ac:dyDescent="0.5">
      <c r="A2" s="1"/>
      <c r="B2" s="1"/>
      <c r="C2" s="30" t="s">
        <v>53</v>
      </c>
      <c r="D2" s="31"/>
      <c r="E2" s="31"/>
      <c r="F2" s="31"/>
      <c r="G2" s="1"/>
      <c r="H2" s="2"/>
      <c r="I2" s="19" t="s">
        <v>1</v>
      </c>
      <c r="J2" s="18"/>
      <c r="K2" s="17"/>
      <c r="L2" s="17"/>
    </row>
    <row r="3" spans="1:12" x14ac:dyDescent="0.4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 ht="18" customHeight="1" x14ac:dyDescent="0.45">
      <c r="A4" s="1"/>
      <c r="B4" s="32" t="s">
        <v>47</v>
      </c>
      <c r="C4" s="3" t="s">
        <v>2</v>
      </c>
      <c r="D4" s="3" t="s">
        <v>3</v>
      </c>
      <c r="E4" s="3" t="s">
        <v>4</v>
      </c>
      <c r="F4" s="3" t="s">
        <v>5</v>
      </c>
      <c r="G4" s="1"/>
      <c r="H4" s="32" t="s">
        <v>48</v>
      </c>
      <c r="I4" s="3" t="s">
        <v>2</v>
      </c>
      <c r="J4" s="3" t="s">
        <v>3</v>
      </c>
      <c r="K4" s="3" t="s">
        <v>4</v>
      </c>
      <c r="L4" s="3" t="s">
        <v>5</v>
      </c>
    </row>
    <row r="5" spans="1:12" x14ac:dyDescent="0.45">
      <c r="A5" s="1"/>
      <c r="B5" s="31"/>
      <c r="C5" s="4"/>
      <c r="D5" s="5"/>
      <c r="E5" s="6"/>
      <c r="F5" s="6"/>
      <c r="G5" s="1"/>
      <c r="H5" s="31"/>
      <c r="I5" s="4"/>
      <c r="J5" s="5"/>
      <c r="K5" s="7"/>
      <c r="L5" s="7"/>
    </row>
    <row r="6" spans="1:12" x14ac:dyDescent="0.45">
      <c r="A6" s="1"/>
      <c r="B6" s="31"/>
      <c r="C6" s="4"/>
      <c r="D6" s="5"/>
      <c r="E6" s="6"/>
      <c r="F6" s="6"/>
      <c r="G6" s="1"/>
      <c r="H6" s="31"/>
      <c r="I6" s="4"/>
      <c r="J6" s="5"/>
      <c r="K6" s="6"/>
      <c r="L6" s="6"/>
    </row>
    <row r="7" spans="1:12" x14ac:dyDescent="0.45">
      <c r="A7" s="1"/>
      <c r="B7" s="31"/>
      <c r="C7" s="4"/>
      <c r="D7" s="5"/>
      <c r="E7" s="6"/>
      <c r="F7" s="6"/>
      <c r="G7" s="1"/>
      <c r="H7" s="31"/>
      <c r="I7" s="4"/>
      <c r="J7" s="5"/>
      <c r="K7" s="6"/>
      <c r="L7" s="6"/>
    </row>
    <row r="8" spans="1:12" x14ac:dyDescent="0.45">
      <c r="A8" s="1"/>
      <c r="B8" s="31"/>
      <c r="C8" s="4"/>
      <c r="D8" s="5"/>
      <c r="E8" s="6"/>
      <c r="F8" s="6"/>
      <c r="G8" s="1"/>
      <c r="H8" s="31"/>
      <c r="I8" s="4"/>
      <c r="J8" s="5"/>
      <c r="K8" s="6"/>
      <c r="L8" s="6"/>
    </row>
    <row r="9" spans="1:12" x14ac:dyDescent="0.45">
      <c r="A9" s="1"/>
      <c r="B9" s="31"/>
      <c r="C9" s="4"/>
      <c r="D9" s="5"/>
      <c r="E9" s="6"/>
      <c r="F9" s="6"/>
      <c r="G9" s="1"/>
      <c r="H9" s="31"/>
      <c r="I9" s="4"/>
      <c r="J9" s="5"/>
      <c r="K9" s="6"/>
      <c r="L9" s="6"/>
    </row>
    <row r="10" spans="1:12" x14ac:dyDescent="0.45">
      <c r="A10" s="1"/>
      <c r="B10" s="31"/>
      <c r="C10" s="4"/>
      <c r="D10" s="5"/>
      <c r="E10" s="6"/>
      <c r="F10" s="6"/>
      <c r="G10" s="1"/>
      <c r="H10" s="31"/>
      <c r="I10" s="4"/>
      <c r="J10" s="5"/>
      <c r="K10" s="6"/>
      <c r="L10" s="6"/>
    </row>
    <row r="11" spans="1:12" x14ac:dyDescent="0.45">
      <c r="A11" s="1"/>
      <c r="B11" s="31"/>
      <c r="C11" s="4"/>
      <c r="D11" s="5"/>
      <c r="E11" s="6"/>
      <c r="F11" s="6"/>
      <c r="G11" s="1"/>
      <c r="H11" s="31"/>
      <c r="I11" s="4"/>
      <c r="J11" s="5"/>
      <c r="K11" s="6"/>
      <c r="L11" s="6"/>
    </row>
    <row r="12" spans="1:12" x14ac:dyDescent="0.45">
      <c r="A12" s="1"/>
      <c r="B12" s="31"/>
      <c r="C12" s="4"/>
      <c r="D12" s="5"/>
      <c r="E12" s="6"/>
      <c r="F12" s="6"/>
      <c r="G12" s="1"/>
      <c r="H12" s="31"/>
      <c r="I12" s="4"/>
      <c r="J12" s="5"/>
      <c r="K12" s="6"/>
      <c r="L12" s="6"/>
    </row>
    <row r="13" spans="1:12" x14ac:dyDescent="0.45">
      <c r="A13" s="1"/>
      <c r="B13" s="31"/>
      <c r="C13" s="4" t="s">
        <v>6</v>
      </c>
      <c r="D13" s="8"/>
      <c r="E13" s="6">
        <f>SUBTOTAL(9,Tableau413234251586722426078[Revenus])</f>
        <v>0</v>
      </c>
      <c r="F13" s="6">
        <f>SUBTOTAL(9,Tableau413234251586722426078[Dépenses])</f>
        <v>0</v>
      </c>
      <c r="G13" s="1"/>
      <c r="H13" s="31"/>
      <c r="I13" s="4" t="s">
        <v>6</v>
      </c>
      <c r="J13" s="8"/>
      <c r="K13" s="6">
        <f>SUBTOTAL(9,Tableau4461626455461701432506581[Revenus])</f>
        <v>0</v>
      </c>
      <c r="L13" s="6">
        <f>SUBTOTAL(9,Tableau4461626455461701432506581[Dépenses])</f>
        <v>0</v>
      </c>
    </row>
    <row r="14" spans="1:12" ht="14.65" customHeight="1" x14ac:dyDescent="0.45">
      <c r="A14" s="1"/>
      <c r="B14" s="10"/>
      <c r="C14" s="11"/>
      <c r="D14" s="11"/>
      <c r="E14" s="11"/>
      <c r="F14" s="11"/>
      <c r="G14" s="1"/>
      <c r="H14" s="1"/>
      <c r="I14" s="1"/>
      <c r="J14" s="1"/>
      <c r="K14" s="1"/>
      <c r="L14" s="1"/>
    </row>
    <row r="15" spans="1:12" x14ac:dyDescent="0.45">
      <c r="A15" s="1"/>
      <c r="B15" s="10"/>
      <c r="C15" s="12"/>
      <c r="D15" s="13"/>
      <c r="E15" s="9"/>
      <c r="F15" s="14"/>
      <c r="G15" s="1"/>
      <c r="H15" s="1"/>
      <c r="I15" s="1"/>
      <c r="J15" s="1"/>
      <c r="K15" s="1"/>
      <c r="L15" s="1"/>
    </row>
    <row r="16" spans="1:12" ht="18" customHeight="1" x14ac:dyDescent="0.45">
      <c r="A16" s="1"/>
      <c r="B16" s="32" t="s">
        <v>49</v>
      </c>
      <c r="C16" s="3" t="s">
        <v>2</v>
      </c>
      <c r="D16" s="3" t="s">
        <v>3</v>
      </c>
      <c r="E16" s="3" t="s">
        <v>4</v>
      </c>
      <c r="F16" s="3" t="s">
        <v>5</v>
      </c>
      <c r="G16" s="1"/>
      <c r="H16" s="32" t="s">
        <v>7</v>
      </c>
      <c r="I16" s="3" t="s">
        <v>2</v>
      </c>
      <c r="J16" s="3" t="s">
        <v>3</v>
      </c>
      <c r="K16" s="3" t="s">
        <v>4</v>
      </c>
      <c r="L16" s="3" t="s">
        <v>5</v>
      </c>
    </row>
    <row r="17" spans="1:12" x14ac:dyDescent="0.45">
      <c r="A17" s="1"/>
      <c r="B17" s="31"/>
      <c r="C17" s="4"/>
      <c r="D17" s="5"/>
      <c r="E17" s="7"/>
      <c r="F17" s="7"/>
      <c r="G17" s="1"/>
      <c r="H17" s="31"/>
      <c r="I17" s="4"/>
      <c r="J17" s="5"/>
      <c r="K17" s="7"/>
      <c r="L17" s="7"/>
    </row>
    <row r="18" spans="1:12" x14ac:dyDescent="0.45">
      <c r="A18" s="1"/>
      <c r="B18" s="31"/>
      <c r="C18" s="4"/>
      <c r="D18" s="5"/>
      <c r="E18" s="6"/>
      <c r="F18" s="6"/>
      <c r="G18" s="1"/>
      <c r="H18" s="31"/>
      <c r="I18" s="4"/>
      <c r="J18" s="5"/>
      <c r="K18" s="6"/>
      <c r="L18" s="6"/>
    </row>
    <row r="19" spans="1:12" x14ac:dyDescent="0.45">
      <c r="A19" s="1"/>
      <c r="B19" s="31"/>
      <c r="C19" s="4"/>
      <c r="D19" s="5"/>
      <c r="E19" s="6"/>
      <c r="F19" s="6"/>
      <c r="G19" s="1"/>
      <c r="H19" s="31"/>
      <c r="I19" s="4"/>
      <c r="J19" s="5"/>
      <c r="K19" s="6"/>
      <c r="L19" s="6"/>
    </row>
    <row r="20" spans="1:12" x14ac:dyDescent="0.45">
      <c r="A20" s="1"/>
      <c r="B20" s="31"/>
      <c r="C20" s="4"/>
      <c r="D20" s="5"/>
      <c r="E20" s="6"/>
      <c r="F20" s="6"/>
      <c r="G20" s="1"/>
      <c r="H20" s="31"/>
      <c r="I20" s="4"/>
      <c r="J20" s="5"/>
      <c r="K20" s="6"/>
      <c r="L20" s="6"/>
    </row>
    <row r="21" spans="1:12" x14ac:dyDescent="0.45">
      <c r="A21" s="1"/>
      <c r="B21" s="31"/>
      <c r="C21" s="4"/>
      <c r="D21" s="5"/>
      <c r="E21" s="6"/>
      <c r="F21" s="6"/>
      <c r="G21" s="1"/>
      <c r="H21" s="31"/>
      <c r="I21" s="4"/>
      <c r="J21" s="5"/>
      <c r="K21" s="6"/>
      <c r="L21" s="6"/>
    </row>
    <row r="22" spans="1:12" x14ac:dyDescent="0.45">
      <c r="A22" s="1"/>
      <c r="B22" s="31"/>
      <c r="C22" s="4"/>
      <c r="D22" s="5"/>
      <c r="E22" s="6"/>
      <c r="F22" s="6"/>
      <c r="G22" s="1"/>
      <c r="H22" s="31"/>
      <c r="I22" s="4"/>
      <c r="J22" s="5"/>
      <c r="K22" s="6"/>
      <c r="L22" s="6"/>
    </row>
    <row r="23" spans="1:12" x14ac:dyDescent="0.45">
      <c r="A23" s="1"/>
      <c r="B23" s="31"/>
      <c r="C23" s="4"/>
      <c r="D23" s="5"/>
      <c r="E23" s="6"/>
      <c r="F23" s="6"/>
      <c r="G23" s="1"/>
      <c r="H23" s="31"/>
      <c r="I23" s="4"/>
      <c r="J23" s="5"/>
      <c r="K23" s="6"/>
      <c r="L23" s="6"/>
    </row>
    <row r="24" spans="1:12" x14ac:dyDescent="0.45">
      <c r="A24" s="1"/>
      <c r="B24" s="31"/>
      <c r="C24" s="4"/>
      <c r="D24" s="5"/>
      <c r="E24" s="6"/>
      <c r="F24" s="6"/>
      <c r="G24" s="1"/>
      <c r="H24" s="31"/>
      <c r="I24" s="4"/>
      <c r="J24" s="5"/>
      <c r="K24" s="6"/>
      <c r="L24" s="6"/>
    </row>
    <row r="25" spans="1:12" x14ac:dyDescent="0.45">
      <c r="A25" s="1"/>
      <c r="B25" s="31"/>
      <c r="C25" s="4" t="s">
        <v>6</v>
      </c>
      <c r="D25" s="8"/>
      <c r="E25" s="6">
        <f>SUBTOTAL(9,Tableau44616264554617028436179[Revenus])</f>
        <v>0</v>
      </c>
      <c r="F25" s="6">
        <f>SUBTOTAL(9,Tableau44616264554617028436179[Dépenses])</f>
        <v>0</v>
      </c>
      <c r="G25" s="1"/>
      <c r="H25" s="31"/>
      <c r="I25" s="4" t="s">
        <v>6</v>
      </c>
      <c r="J25" s="8"/>
      <c r="K25" s="6">
        <f>SUBTOTAL(9,Tableau4461626455461702024446280[Revenus])</f>
        <v>0</v>
      </c>
      <c r="L25" s="6">
        <f>SUBTOTAL(9,Tableau4461626455461702024446280[Dépenses])</f>
        <v>0</v>
      </c>
    </row>
    <row r="28" spans="1:12" ht="18" customHeight="1" x14ac:dyDescent="0.45">
      <c r="B28" s="33"/>
      <c r="C28" s="23"/>
      <c r="D28" s="23"/>
      <c r="E28" s="23"/>
      <c r="F28" s="23"/>
      <c r="H28" s="33"/>
      <c r="I28" s="23"/>
      <c r="J28" s="23"/>
      <c r="K28" s="23"/>
      <c r="L28" s="23"/>
    </row>
    <row r="29" spans="1:12" x14ac:dyDescent="0.45">
      <c r="B29" s="31"/>
      <c r="C29" s="20"/>
      <c r="D29" s="24"/>
      <c r="E29" s="25"/>
      <c r="F29" s="25"/>
      <c r="H29" s="31"/>
      <c r="I29" s="20"/>
      <c r="J29" s="24"/>
      <c r="K29" s="25"/>
      <c r="L29" s="25"/>
    </row>
    <row r="30" spans="1:12" x14ac:dyDescent="0.45">
      <c r="B30" s="31"/>
      <c r="C30" s="20"/>
      <c r="D30" s="24"/>
      <c r="E30" s="22"/>
      <c r="F30" s="22"/>
      <c r="H30" s="31"/>
      <c r="I30" s="20"/>
      <c r="J30" s="24"/>
      <c r="K30" s="22"/>
      <c r="L30" s="22"/>
    </row>
    <row r="31" spans="1:12" x14ac:dyDescent="0.45">
      <c r="B31" s="31"/>
      <c r="C31" s="20"/>
      <c r="D31" s="24"/>
      <c r="E31" s="22"/>
      <c r="F31" s="22"/>
      <c r="H31" s="31"/>
      <c r="I31" s="20"/>
      <c r="J31" s="24"/>
      <c r="K31" s="22"/>
      <c r="L31" s="22"/>
    </row>
    <row r="32" spans="1:12" x14ac:dyDescent="0.45">
      <c r="B32" s="31"/>
      <c r="C32" s="20"/>
      <c r="D32" s="24"/>
      <c r="E32" s="22"/>
      <c r="F32" s="22"/>
      <c r="H32" s="31"/>
      <c r="I32" s="20"/>
      <c r="J32" s="24"/>
      <c r="K32" s="22"/>
      <c r="L32" s="22"/>
    </row>
    <row r="33" spans="2:12" x14ac:dyDescent="0.45">
      <c r="B33" s="31"/>
      <c r="C33" s="20"/>
      <c r="D33" s="24"/>
      <c r="E33" s="22"/>
      <c r="F33" s="22"/>
      <c r="H33" s="31"/>
      <c r="I33" s="20"/>
      <c r="J33" s="24"/>
      <c r="K33" s="22"/>
      <c r="L33" s="22"/>
    </row>
    <row r="34" spans="2:12" x14ac:dyDescent="0.45">
      <c r="B34" s="31"/>
      <c r="C34" s="20"/>
      <c r="D34" s="24"/>
      <c r="E34" s="22"/>
      <c r="F34" s="22"/>
      <c r="H34" s="31"/>
      <c r="I34" s="20"/>
      <c r="J34" s="24"/>
      <c r="K34" s="22"/>
      <c r="L34" s="22"/>
    </row>
    <row r="35" spans="2:12" x14ac:dyDescent="0.45">
      <c r="B35" s="31"/>
      <c r="C35" s="20"/>
      <c r="D35" s="24"/>
      <c r="E35" s="22"/>
      <c r="F35" s="22"/>
      <c r="H35" s="31"/>
      <c r="I35" s="20"/>
      <c r="J35" s="24"/>
      <c r="K35" s="22"/>
      <c r="L35" s="22"/>
    </row>
    <row r="36" spans="2:12" x14ac:dyDescent="0.45">
      <c r="B36" s="31"/>
      <c r="C36" s="20"/>
      <c r="D36" s="24"/>
      <c r="E36" s="22"/>
      <c r="F36" s="22"/>
      <c r="H36" s="31"/>
      <c r="I36" s="20"/>
      <c r="J36" s="24"/>
      <c r="K36" s="22"/>
      <c r="L36" s="22"/>
    </row>
    <row r="37" spans="2:12" x14ac:dyDescent="0.45">
      <c r="B37" s="31"/>
      <c r="C37" s="20"/>
      <c r="D37" s="21"/>
      <c r="E37" s="22"/>
      <c r="F37" s="22"/>
      <c r="H37" s="31"/>
      <c r="I37" s="20"/>
      <c r="J37" s="21"/>
      <c r="K37" s="22"/>
      <c r="L37" s="22"/>
    </row>
    <row r="39" spans="2:12" x14ac:dyDescent="0.45">
      <c r="E39" s="16"/>
    </row>
    <row r="40" spans="2:12" ht="18" customHeight="1" x14ac:dyDescent="0.45">
      <c r="B40" s="33"/>
      <c r="C40" s="23"/>
      <c r="D40" s="23"/>
      <c r="E40" s="23"/>
      <c r="F40" s="23"/>
      <c r="H40" s="33"/>
      <c r="I40" s="23"/>
      <c r="J40" s="23"/>
      <c r="K40" s="23"/>
      <c r="L40" s="23"/>
    </row>
    <row r="41" spans="2:12" x14ac:dyDescent="0.45">
      <c r="B41" s="31"/>
      <c r="C41" s="20"/>
      <c r="D41" s="24"/>
      <c r="E41" s="25"/>
      <c r="F41" s="25"/>
      <c r="H41" s="31"/>
      <c r="I41" s="20"/>
      <c r="J41" s="24"/>
      <c r="K41" s="25"/>
      <c r="L41" s="25"/>
    </row>
    <row r="42" spans="2:12" x14ac:dyDescent="0.45">
      <c r="B42" s="31"/>
      <c r="C42" s="20"/>
      <c r="D42" s="24"/>
      <c r="E42" s="22"/>
      <c r="F42" s="22"/>
      <c r="H42" s="31"/>
      <c r="I42" s="20"/>
      <c r="J42" s="24"/>
      <c r="K42" s="22"/>
      <c r="L42" s="22"/>
    </row>
    <row r="43" spans="2:12" x14ac:dyDescent="0.45">
      <c r="B43" s="31"/>
      <c r="C43" s="20"/>
      <c r="D43" s="24"/>
      <c r="E43" s="22"/>
      <c r="F43" s="22"/>
      <c r="H43" s="31"/>
      <c r="I43" s="20"/>
      <c r="J43" s="24"/>
      <c r="K43" s="22"/>
      <c r="L43" s="22"/>
    </row>
    <row r="44" spans="2:12" x14ac:dyDescent="0.45">
      <c r="B44" s="31"/>
      <c r="C44" s="20"/>
      <c r="D44" s="24"/>
      <c r="E44" s="22"/>
      <c r="F44" s="22"/>
      <c r="H44" s="31"/>
      <c r="I44" s="20"/>
      <c r="J44" s="24"/>
      <c r="K44" s="22"/>
      <c r="L44" s="22"/>
    </row>
    <row r="45" spans="2:12" x14ac:dyDescent="0.45">
      <c r="B45" s="31"/>
      <c r="C45" s="20"/>
      <c r="D45" s="24"/>
      <c r="E45" s="22"/>
      <c r="F45" s="22"/>
      <c r="H45" s="31"/>
      <c r="I45" s="20"/>
      <c r="J45" s="24"/>
      <c r="K45" s="22"/>
      <c r="L45" s="22"/>
    </row>
    <row r="46" spans="2:12" x14ac:dyDescent="0.45">
      <c r="B46" s="31"/>
      <c r="C46" s="20"/>
      <c r="D46" s="24"/>
      <c r="E46" s="22"/>
      <c r="F46" s="22"/>
      <c r="H46" s="31"/>
      <c r="I46" s="20"/>
      <c r="J46" s="24"/>
      <c r="K46" s="22"/>
      <c r="L46" s="22"/>
    </row>
    <row r="47" spans="2:12" x14ac:dyDescent="0.45">
      <c r="B47" s="31"/>
      <c r="C47" s="20"/>
      <c r="D47" s="24"/>
      <c r="E47" s="22"/>
      <c r="F47" s="22"/>
      <c r="H47" s="31"/>
      <c r="I47" s="20"/>
      <c r="J47" s="24"/>
      <c r="K47" s="22"/>
      <c r="L47" s="22"/>
    </row>
    <row r="48" spans="2:12" x14ac:dyDescent="0.45">
      <c r="B48" s="31"/>
      <c r="C48" s="20"/>
      <c r="D48" s="24"/>
      <c r="E48" s="22"/>
      <c r="F48" s="22"/>
      <c r="H48" s="31"/>
      <c r="I48" s="20"/>
      <c r="J48" s="24"/>
      <c r="K48" s="22"/>
      <c r="L48" s="22"/>
    </row>
    <row r="49" spans="2:12" x14ac:dyDescent="0.45">
      <c r="B49" s="31"/>
      <c r="C49" s="20"/>
      <c r="D49" s="21"/>
      <c r="E49" s="22"/>
      <c r="F49" s="22"/>
      <c r="H49" s="31"/>
      <c r="I49" s="20"/>
      <c r="J49" s="21"/>
      <c r="K49" s="22"/>
      <c r="L49" s="22"/>
    </row>
    <row r="51" spans="2:12" x14ac:dyDescent="0.45">
      <c r="E51" s="16"/>
      <c r="K51" s="16"/>
    </row>
    <row r="52" spans="2:12" ht="18" customHeight="1" x14ac:dyDescent="0.45">
      <c r="B52" s="33"/>
      <c r="C52" s="23"/>
      <c r="D52" s="23"/>
      <c r="E52" s="23"/>
      <c r="F52" s="23"/>
      <c r="H52" s="33"/>
      <c r="I52" s="23"/>
      <c r="J52" s="23"/>
      <c r="K52" s="23"/>
      <c r="L52" s="23"/>
    </row>
    <row r="53" spans="2:12" x14ac:dyDescent="0.45">
      <c r="B53" s="31"/>
      <c r="C53" s="20"/>
      <c r="D53" s="24"/>
      <c r="E53" s="25"/>
      <c r="F53" s="25"/>
      <c r="H53" s="31"/>
      <c r="I53" s="20"/>
      <c r="J53" s="24"/>
      <c r="K53" s="25"/>
      <c r="L53" s="25"/>
    </row>
    <row r="54" spans="2:12" x14ac:dyDescent="0.45">
      <c r="B54" s="31"/>
      <c r="C54" s="20"/>
      <c r="D54" s="24"/>
      <c r="E54" s="22"/>
      <c r="F54" s="22"/>
      <c r="H54" s="31"/>
      <c r="I54" s="20"/>
      <c r="J54" s="24"/>
      <c r="K54" s="22"/>
      <c r="L54" s="22"/>
    </row>
    <row r="55" spans="2:12" x14ac:dyDescent="0.45">
      <c r="B55" s="31"/>
      <c r="C55" s="20"/>
      <c r="D55" s="24"/>
      <c r="E55" s="22"/>
      <c r="F55" s="22"/>
      <c r="H55" s="31"/>
      <c r="I55" s="20"/>
      <c r="J55" s="24"/>
      <c r="K55" s="22"/>
      <c r="L55" s="22"/>
    </row>
    <row r="56" spans="2:12" x14ac:dyDescent="0.45">
      <c r="B56" s="31"/>
      <c r="C56" s="20"/>
      <c r="D56" s="24"/>
      <c r="E56" s="22"/>
      <c r="F56" s="22"/>
      <c r="H56" s="31"/>
      <c r="I56" s="20"/>
      <c r="J56" s="24"/>
      <c r="K56" s="22"/>
      <c r="L56" s="22"/>
    </row>
    <row r="57" spans="2:12" x14ac:dyDescent="0.45">
      <c r="B57" s="31"/>
      <c r="C57" s="20"/>
      <c r="D57" s="24"/>
      <c r="E57" s="22"/>
      <c r="F57" s="22"/>
      <c r="H57" s="31"/>
      <c r="I57" s="20"/>
      <c r="J57" s="24"/>
      <c r="K57" s="22"/>
      <c r="L57" s="22"/>
    </row>
    <row r="58" spans="2:12" x14ac:dyDescent="0.45">
      <c r="B58" s="31"/>
      <c r="C58" s="20"/>
      <c r="D58" s="24"/>
      <c r="E58" s="22"/>
      <c r="F58" s="22"/>
      <c r="H58" s="31"/>
      <c r="I58" s="20"/>
      <c r="J58" s="24"/>
      <c r="K58" s="22"/>
      <c r="L58" s="22"/>
    </row>
    <row r="59" spans="2:12" x14ac:dyDescent="0.45">
      <c r="B59" s="31"/>
      <c r="C59" s="20"/>
      <c r="D59" s="24"/>
      <c r="E59" s="22"/>
      <c r="F59" s="22"/>
      <c r="H59" s="31"/>
      <c r="I59" s="20"/>
      <c r="J59" s="24"/>
      <c r="K59" s="22"/>
      <c r="L59" s="22"/>
    </row>
    <row r="60" spans="2:12" x14ac:dyDescent="0.45">
      <c r="B60" s="31"/>
      <c r="C60" s="20"/>
      <c r="D60" s="24"/>
      <c r="E60" s="22"/>
      <c r="F60" s="22"/>
      <c r="H60" s="31"/>
      <c r="I60" s="20"/>
      <c r="J60" s="24"/>
      <c r="K60" s="22"/>
      <c r="L60" s="22"/>
    </row>
    <row r="61" spans="2:12" x14ac:dyDescent="0.45">
      <c r="B61" s="31"/>
      <c r="C61" s="20"/>
      <c r="D61" s="21"/>
      <c r="E61" s="22"/>
      <c r="F61" s="22"/>
      <c r="H61" s="31"/>
      <c r="I61" s="20"/>
      <c r="J61" s="21"/>
      <c r="K61" s="22"/>
      <c r="L61" s="22"/>
    </row>
    <row r="64" spans="2:12" ht="18" customHeight="1" x14ac:dyDescent="0.45">
      <c r="B64" s="33"/>
      <c r="C64" s="23"/>
      <c r="D64" s="23"/>
      <c r="E64" s="23"/>
      <c r="F64" s="23"/>
    </row>
    <row r="65" spans="2:6" x14ac:dyDescent="0.45">
      <c r="B65" s="31"/>
      <c r="C65" s="20"/>
      <c r="D65" s="24"/>
      <c r="E65" s="25"/>
      <c r="F65" s="25"/>
    </row>
    <row r="66" spans="2:6" x14ac:dyDescent="0.45">
      <c r="B66" s="31"/>
      <c r="C66" s="20"/>
      <c r="D66" s="24"/>
      <c r="E66" s="22"/>
      <c r="F66" s="22"/>
    </row>
    <row r="67" spans="2:6" x14ac:dyDescent="0.45">
      <c r="B67" s="31"/>
      <c r="C67" s="20"/>
      <c r="D67" s="24"/>
      <c r="E67" s="22"/>
      <c r="F67" s="22"/>
    </row>
    <row r="68" spans="2:6" x14ac:dyDescent="0.45">
      <c r="B68" s="31"/>
      <c r="C68" s="20"/>
      <c r="D68" s="24"/>
      <c r="E68" s="22"/>
      <c r="F68" s="22"/>
    </row>
    <row r="69" spans="2:6" x14ac:dyDescent="0.45">
      <c r="B69" s="31"/>
      <c r="C69" s="20"/>
      <c r="D69" s="24"/>
      <c r="E69" s="22"/>
      <c r="F69" s="22"/>
    </row>
    <row r="70" spans="2:6" x14ac:dyDescent="0.45">
      <c r="B70" s="31"/>
      <c r="C70" s="20"/>
      <c r="D70" s="24"/>
      <c r="E70" s="22"/>
      <c r="F70" s="22"/>
    </row>
    <row r="71" spans="2:6" x14ac:dyDescent="0.45">
      <c r="B71" s="31"/>
      <c r="C71" s="20"/>
      <c r="D71" s="24"/>
      <c r="E71" s="22"/>
      <c r="F71" s="22"/>
    </row>
    <row r="72" spans="2:6" x14ac:dyDescent="0.45">
      <c r="B72" s="31"/>
      <c r="C72" s="20"/>
      <c r="D72" s="24"/>
      <c r="E72" s="22"/>
      <c r="F72" s="22"/>
    </row>
    <row r="73" spans="2:6" x14ac:dyDescent="0.45">
      <c r="B73" s="31"/>
      <c r="C73" s="20"/>
      <c r="D73" s="21"/>
      <c r="E73" s="22"/>
      <c r="F73" s="22"/>
    </row>
  </sheetData>
  <mergeCells count="12">
    <mergeCell ref="B64:B73"/>
    <mergeCell ref="H52:H61"/>
    <mergeCell ref="B16:B25"/>
    <mergeCell ref="B28:B37"/>
    <mergeCell ref="H16:H25"/>
    <mergeCell ref="B52:B61"/>
    <mergeCell ref="C2:F2"/>
    <mergeCell ref="H28:H37"/>
    <mergeCell ref="B4:B13"/>
    <mergeCell ref="B40:B49"/>
    <mergeCell ref="H40:H49"/>
    <mergeCell ref="H4:H13"/>
  </mergeCells>
  <pageMargins left="0.7" right="0.7" top="0.75" bottom="0.75" header="0.3" footer="0.3"/>
  <pageSetup paperSize="9" orientation="portrait"/>
  <tableParts count="4">
    <tablePart r:id="rId1"/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9</vt:i4>
      </vt:variant>
    </vt:vector>
  </HeadingPairs>
  <TitlesOfParts>
    <vt:vector size="9" baseType="lpstr">
      <vt:lpstr>Logement</vt:lpstr>
      <vt:lpstr>Transports</vt:lpstr>
      <vt:lpstr>Courses</vt:lpstr>
      <vt:lpstr>Loisirs</vt:lpstr>
      <vt:lpstr>Santé</vt:lpstr>
      <vt:lpstr>Banque</vt:lpstr>
      <vt:lpstr>Epargne</vt:lpstr>
      <vt:lpstr>Impôts</vt:lpstr>
      <vt:lpstr>Salaires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Kevin GUILLOUX</cp:lastModifiedBy>
  <dcterms:created xsi:type="dcterms:W3CDTF">2026-04-20T21:49:33Z</dcterms:created>
  <dcterms:modified xsi:type="dcterms:W3CDTF">2026-04-26T00:33:59Z</dcterms:modified>
</cp:coreProperties>
</file>